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laamseoverheid-my.sharepoint.com/personal/dries_luts_vlaanderen_be/Documents/Documenten/DOV/Analyses/Bodembiodiversiteit/"/>
    </mc:Choice>
  </mc:AlternateContent>
  <xr:revisionPtr revIDLastSave="4" documentId="8_{C11EA74A-26CA-4F46-A0C8-BDA8478CC4DF}" xr6:coauthVersionLast="47" xr6:coauthVersionMax="47" xr10:uidLastSave="{B5F85188-C066-45CE-A9A9-60216DACE315}"/>
  <bookViews>
    <workbookView xWindow="-120" yWindow="-18120" windowWidth="29040" windowHeight="17520" activeTab="1" xr2:uid="{29F6BA33-ADA5-4EB1-939A-556F15E6290E}"/>
  </bookViews>
  <sheets>
    <sheet name="Verwerkt" sheetId="1" r:id="rId1"/>
    <sheet name="Ruw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2" i="1"/>
</calcChain>
</file>

<file path=xl/sharedStrings.xml><?xml version="1.0" encoding="utf-8"?>
<sst xmlns="http://schemas.openxmlformats.org/spreadsheetml/2006/main" count="111" uniqueCount="103">
  <si>
    <t>Sample Type</t>
  </si>
  <si>
    <t>Lab ID</t>
  </si>
  <si>
    <t>Test ID</t>
  </si>
  <si>
    <t>Date Received</t>
  </si>
  <si>
    <t>Date Reported</t>
  </si>
  <si>
    <t>Customer ID</t>
  </si>
  <si>
    <t>Name</t>
  </si>
  <si>
    <t>Company</t>
  </si>
  <si>
    <t>Grower</t>
  </si>
  <si>
    <t>Field ID</t>
  </si>
  <si>
    <t>SampleID</t>
  </si>
  <si>
    <t>BOX</t>
  </si>
  <si>
    <t>Total Living Microbial Biomass, PLFA ng/g</t>
  </si>
  <si>
    <t>Functional Group Diversity Index</t>
  </si>
  <si>
    <t>Total Bacteria, PLFA ng/g</t>
  </si>
  <si>
    <t>Total Bacteria, % of Tot. Biomass</t>
  </si>
  <si>
    <t>Gram Pos Others, PLFA ng/g</t>
  </si>
  <si>
    <t>Gram Pos Others, % of Tot. Biomass</t>
  </si>
  <si>
    <t>Actinomycetes, PLFA ng/g</t>
  </si>
  <si>
    <t>Actinomycetes, % of Tot. Biomass</t>
  </si>
  <si>
    <t>Gram Neg Others, PLFA ng/g</t>
  </si>
  <si>
    <t>Gram Neg Others, % of Tot. Biomass</t>
  </si>
  <si>
    <t>Total Fungi, PLFA ng/g</t>
  </si>
  <si>
    <t>Total Fungi, % of Tot. Biomass</t>
  </si>
  <si>
    <t>Arbuscular Mycorrhizal Fungi, PLFA ng/g</t>
  </si>
  <si>
    <t>Arbuscular Mycorrhizal Fungi, % of Tot. Biomass</t>
  </si>
  <si>
    <t>Saprophytic Fungi, PLFA ng/g</t>
  </si>
  <si>
    <t>Saprophytic Fungi, % of Tot. Biomass</t>
  </si>
  <si>
    <t>Protozoa, PLFA ng/g</t>
  </si>
  <si>
    <t>Protozoa, % of Tot. Biomass</t>
  </si>
  <si>
    <t>Undifferentiated, PLFA ng/g</t>
  </si>
  <si>
    <t>Undifferentiated, % of Tot. Biomass</t>
  </si>
  <si>
    <t>Fungi:Bacteria</t>
  </si>
  <si>
    <t>Protozoa:Bacteria</t>
  </si>
  <si>
    <t>Gram+:Gram-</t>
  </si>
  <si>
    <t>Sat:Unsat</t>
  </si>
  <si>
    <t>Mono:Poly</t>
  </si>
  <si>
    <t>Pre 16:Cyclo 17</t>
  </si>
  <si>
    <t>Pre 18:Cyclo 19</t>
  </si>
  <si>
    <t>BODL</t>
  </si>
  <si>
    <t>N/A</t>
  </si>
  <si>
    <t>20/10/2023</t>
  </si>
  <si>
    <t>24/10/2023</t>
  </si>
  <si>
    <t>SOFIE THIJS</t>
  </si>
  <si>
    <t>HASSELT UNIVERSITY</t>
  </si>
  <si>
    <t>Sofie</t>
  </si>
  <si>
    <t>BOD0002</t>
  </si>
  <si>
    <t>All Bact</t>
  </si>
  <si>
    <t>None Found</t>
  </si>
  <si>
    <t>All Pre18:1</t>
  </si>
  <si>
    <t>26/10/2023</t>
  </si>
  <si>
    <t>BOD0003</t>
  </si>
  <si>
    <t>All Pre16:1</t>
  </si>
  <si>
    <t>Vol</t>
  </si>
  <si>
    <t>Seq_Fname</t>
  </si>
  <si>
    <t>Index</t>
  </si>
  <si>
    <t>ID_Nbr</t>
  </si>
  <si>
    <t>ID_Only</t>
  </si>
  <si>
    <t>Comment_Only</t>
  </si>
  <si>
    <t>011: 12:0</t>
  </si>
  <si>
    <t>014: 13:1 w5c</t>
  </si>
  <si>
    <t>015: 13:1 w4c</t>
  </si>
  <si>
    <t>019: 14:0 iso</t>
  </si>
  <si>
    <t>026: 14:0</t>
  </si>
  <si>
    <t>028: 15:1 iso w6c</t>
  </si>
  <si>
    <t>029: 15:4 w3c</t>
  </si>
  <si>
    <t>031: 15:0 iso</t>
  </si>
  <si>
    <t>032: 15:3 w3c</t>
  </si>
  <si>
    <t>033: 15:0 anteiso</t>
  </si>
  <si>
    <t>041: 15:0</t>
  </si>
  <si>
    <t>042: 16:1 w7c alcohol</t>
  </si>
  <si>
    <t>045: 16:0 iso</t>
  </si>
  <si>
    <t>048: 16:1 w9c</t>
  </si>
  <si>
    <t>050: 16:1 w7c</t>
  </si>
  <si>
    <t>052: 16:1 w5c</t>
  </si>
  <si>
    <t>055: 16:0</t>
  </si>
  <si>
    <t>057: 16:0 10-methyl</t>
  </si>
  <si>
    <t>058: 17:1 iso w9c</t>
  </si>
  <si>
    <t>059: 17:1 anteiso w9c</t>
  </si>
  <si>
    <t>061: 17:0 iso</t>
  </si>
  <si>
    <t>062: 17:0 anteiso</t>
  </si>
  <si>
    <t>064: 17:1 w8c</t>
  </si>
  <si>
    <t>065: 17:1 w7c</t>
  </si>
  <si>
    <t>066: 17:1 w6c</t>
  </si>
  <si>
    <t>067: 17:0 cyclo w7c</t>
  </si>
  <si>
    <t>071: 17:0</t>
  </si>
  <si>
    <t>072: 17:1 w7c 10-methyl</t>
  </si>
  <si>
    <t>073: 16:0 2OH</t>
  </si>
  <si>
    <t>074: 17:0 10-methyl</t>
  </si>
  <si>
    <t>078: 18:2 w6c</t>
  </si>
  <si>
    <t>079: 18:1 w9c</t>
  </si>
  <si>
    <t>081: 18:1 w7c</t>
  </si>
  <si>
    <t>083: 18:1 w5c</t>
  </si>
  <si>
    <t>086: 18:0</t>
  </si>
  <si>
    <t>087: 18:1 w7c 10-methyl</t>
  </si>
  <si>
    <t>089: 18:0 10-methyl</t>
  </si>
  <si>
    <t>097: 19:1 w7c</t>
  </si>
  <si>
    <t>100: 19:0 cyclo w7c</t>
  </si>
  <si>
    <t>103: 20:4 w6c</t>
  </si>
  <si>
    <t>DATA</t>
  </si>
  <si>
    <t>E23B222.96A</t>
  </si>
  <si>
    <t>523428)</t>
  </si>
  <si>
    <t>523429)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</si>
</sst>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164" fontId="0" fillId="0" borderId="0" xfId="0" applyNumberFormat="1"/>
    <xf numFmtId="0" fontId="1" fillId="3" borderId="1" xfId="0" applyFont="1" applyFill="1" applyBorder="1" applyAlignment="1">
      <alignment horizontal="center"/>
    </xf>
    <xf numFmtId="46" fontId="1" fillId="3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right" wrapText="1"/>
    </xf>
    <xf numFmtId="0" fontId="2" fillId="0" borderId="0" xfId="0" applyFont="1"/>
  </cellXfs>
  <cellStyles count="1">
    <cellStyle name="Standa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laamseoverheid-my.sharepoint.com/personal/max_vercruyssen_vlaanderen_be/Documents/SANDBOX/002_Bodemleven/Bodemleven/PLFA_original.xlsx" TargetMode="External"/><Relationship Id="rId1" Type="http://schemas.openxmlformats.org/officeDocument/2006/relationships/externalLinkPath" Target="/personal/max_vercruyssen_vlaanderen_be/Documents/SANDBOX/002_Bodemleven/Bodemleven/PLFA_orig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_original"/>
      <sheetName val="Sheet2"/>
      <sheetName val="MAP"/>
      <sheetName val="Databeschrijving"/>
      <sheetName val="Sheet1"/>
      <sheetName val="header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3CE1B-4002-4F28-B8EC-0C6FF97EB462}">
  <dimension ref="A1:AM3"/>
  <sheetViews>
    <sheetView workbookViewId="0">
      <selection sqref="A1:XFD3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>
        <v>523813</v>
      </c>
      <c r="C2" t="s">
        <v>40</v>
      </c>
      <c r="D2" s="2" t="s">
        <v>41</v>
      </c>
      <c r="E2" t="s">
        <v>42</v>
      </c>
      <c r="F2">
        <v>1878</v>
      </c>
      <c r="G2" t="s">
        <v>43</v>
      </c>
      <c r="H2" t="s">
        <v>44</v>
      </c>
      <c r="I2" t="s">
        <v>45</v>
      </c>
      <c r="K2" t="s">
        <v>46</v>
      </c>
      <c r="L2" t="str">
        <f>SUBSTITUTE([1]!tbl_source[[#This Row],[SampleID]],"BOD","BOX")</f>
        <v>BOX0002</v>
      </c>
      <c r="M2">
        <v>1118.25</v>
      </c>
      <c r="N2">
        <v>1.2030000000000001</v>
      </c>
      <c r="O2">
        <v>297.08</v>
      </c>
      <c r="P2">
        <v>26.57</v>
      </c>
      <c r="Q2">
        <v>176.34</v>
      </c>
      <c r="R2">
        <v>15.77</v>
      </c>
      <c r="S2">
        <v>61.54</v>
      </c>
      <c r="T2">
        <v>5.5</v>
      </c>
      <c r="U2">
        <v>59.2</v>
      </c>
      <c r="V2">
        <v>5.29</v>
      </c>
      <c r="W2">
        <v>24.05</v>
      </c>
      <c r="X2">
        <v>2.15</v>
      </c>
      <c r="Y2">
        <v>10.76</v>
      </c>
      <c r="Z2">
        <v>0.96</v>
      </c>
      <c r="AA2">
        <v>13.28</v>
      </c>
      <c r="AB2">
        <v>1.19</v>
      </c>
      <c r="AC2">
        <v>0</v>
      </c>
      <c r="AD2">
        <v>0</v>
      </c>
      <c r="AE2">
        <v>797.12</v>
      </c>
      <c r="AF2">
        <v>71.28</v>
      </c>
      <c r="AG2">
        <v>8.1000000000000003E-2</v>
      </c>
      <c r="AH2" t="s">
        <v>47</v>
      </c>
      <c r="AI2">
        <v>4.0182000000000002</v>
      </c>
      <c r="AJ2">
        <v>5.2176999999999998</v>
      </c>
      <c r="AK2">
        <v>1.0277000000000001</v>
      </c>
      <c r="AL2" t="s">
        <v>48</v>
      </c>
      <c r="AM2" t="s">
        <v>49</v>
      </c>
    </row>
    <row r="3" spans="1:39" x14ac:dyDescent="0.3">
      <c r="A3" t="s">
        <v>39</v>
      </c>
      <c r="B3">
        <v>524227</v>
      </c>
      <c r="C3" t="s">
        <v>40</v>
      </c>
      <c r="D3" s="2" t="s">
        <v>42</v>
      </c>
      <c r="E3" t="s">
        <v>50</v>
      </c>
      <c r="F3">
        <v>1878</v>
      </c>
      <c r="G3" t="s">
        <v>43</v>
      </c>
      <c r="H3" t="s">
        <v>44</v>
      </c>
      <c r="I3" t="s">
        <v>45</v>
      </c>
      <c r="K3" t="s">
        <v>51</v>
      </c>
      <c r="L3" t="str">
        <f>SUBSTITUTE([1]!tbl_source[[#This Row],[SampleID]],"BOD","BOX")</f>
        <v>BOX0003</v>
      </c>
      <c r="M3">
        <v>3236.2</v>
      </c>
      <c r="N3">
        <v>1.492</v>
      </c>
      <c r="O3">
        <v>1257.8399999999999</v>
      </c>
      <c r="P3">
        <v>38.869999999999997</v>
      </c>
      <c r="Q3">
        <v>502.76</v>
      </c>
      <c r="R3">
        <v>15.54</v>
      </c>
      <c r="S3">
        <v>172.84</v>
      </c>
      <c r="T3">
        <v>5.34</v>
      </c>
      <c r="U3">
        <v>582.24</v>
      </c>
      <c r="V3">
        <v>17.989999999999998</v>
      </c>
      <c r="W3">
        <v>414.86</v>
      </c>
      <c r="X3">
        <v>12.82</v>
      </c>
      <c r="Y3">
        <v>191.5</v>
      </c>
      <c r="Z3">
        <v>5.92</v>
      </c>
      <c r="AA3">
        <v>223.36</v>
      </c>
      <c r="AB3">
        <v>6.9</v>
      </c>
      <c r="AC3">
        <v>3.63</v>
      </c>
      <c r="AD3">
        <v>0.11</v>
      </c>
      <c r="AE3">
        <v>1559.87</v>
      </c>
      <c r="AF3">
        <v>48.2</v>
      </c>
      <c r="AG3">
        <v>0.32979999999999998</v>
      </c>
      <c r="AH3">
        <v>2.8999999999999998E-3</v>
      </c>
      <c r="AI3">
        <v>1.1603000000000001</v>
      </c>
      <c r="AJ3">
        <v>1.2858000000000001</v>
      </c>
      <c r="AK3">
        <v>3.5777999999999999</v>
      </c>
      <c r="AL3" t="s">
        <v>52</v>
      </c>
      <c r="AM3">
        <v>8.9335000000000004</v>
      </c>
    </row>
  </sheetData>
  <conditionalFormatting sqref="B1:B3">
    <cfRule type="duplicateValues" dxfId="1" priority="1"/>
  </conditionalFormatting>
  <conditionalFormatting sqref="K1:K3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168AF-62FA-497D-BBB3-0D5C561DC802}">
  <dimension ref="A1:AY3"/>
  <sheetViews>
    <sheetView tabSelected="1" workbookViewId="0">
      <selection sqref="A1:AY3"/>
    </sheetView>
  </sheetViews>
  <sheetFormatPr defaultRowHeight="14.4" x14ac:dyDescent="0.3"/>
  <sheetData>
    <row r="1" spans="1:51" x14ac:dyDescent="0.3">
      <c r="A1" s="3" t="s">
        <v>53</v>
      </c>
      <c r="B1" s="3" t="s">
        <v>54</v>
      </c>
      <c r="C1" s="3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  <c r="J1" s="3" t="s">
        <v>62</v>
      </c>
      <c r="K1" s="3" t="s">
        <v>63</v>
      </c>
      <c r="L1" s="3" t="s">
        <v>64</v>
      </c>
      <c r="M1" s="3" t="s">
        <v>65</v>
      </c>
      <c r="N1" s="3" t="s">
        <v>66</v>
      </c>
      <c r="O1" s="3" t="s">
        <v>67</v>
      </c>
      <c r="P1" s="3" t="s">
        <v>68</v>
      </c>
      <c r="Q1" s="3" t="s">
        <v>69</v>
      </c>
      <c r="R1" s="3" t="s">
        <v>70</v>
      </c>
      <c r="S1" s="3" t="s">
        <v>71</v>
      </c>
      <c r="T1" s="3" t="s">
        <v>72</v>
      </c>
      <c r="U1" s="3" t="s">
        <v>73</v>
      </c>
      <c r="V1" s="3" t="s">
        <v>74</v>
      </c>
      <c r="W1" s="3" t="s">
        <v>75</v>
      </c>
      <c r="X1" s="3" t="s">
        <v>76</v>
      </c>
      <c r="Y1" s="3" t="s">
        <v>77</v>
      </c>
      <c r="Z1" s="3" t="s">
        <v>78</v>
      </c>
      <c r="AA1" s="3" t="s">
        <v>79</v>
      </c>
      <c r="AB1" s="3" t="s">
        <v>80</v>
      </c>
      <c r="AC1" s="3" t="s">
        <v>81</v>
      </c>
      <c r="AD1" s="3" t="s">
        <v>82</v>
      </c>
      <c r="AE1" s="3" t="s">
        <v>83</v>
      </c>
      <c r="AF1" s="3" t="s">
        <v>84</v>
      </c>
      <c r="AG1" s="3" t="s">
        <v>85</v>
      </c>
      <c r="AH1" s="3" t="s">
        <v>86</v>
      </c>
      <c r="AI1" s="3" t="s">
        <v>87</v>
      </c>
      <c r="AJ1" s="3" t="s">
        <v>88</v>
      </c>
      <c r="AK1" s="3" t="s">
        <v>89</v>
      </c>
      <c r="AL1" s="3" t="s">
        <v>90</v>
      </c>
      <c r="AM1" s="3" t="s">
        <v>91</v>
      </c>
      <c r="AN1" s="3" t="s">
        <v>92</v>
      </c>
      <c r="AO1" s="3" t="s">
        <v>93</v>
      </c>
      <c r="AP1" s="3" t="s">
        <v>94</v>
      </c>
      <c r="AQ1" s="3" t="s">
        <v>95</v>
      </c>
      <c r="AR1" s="3" t="s">
        <v>96</v>
      </c>
      <c r="AS1" s="3" t="s">
        <v>97</v>
      </c>
      <c r="AT1" s="3" t="s">
        <v>98</v>
      </c>
      <c r="AU1" s="4">
        <v>4.7222222222222223</v>
      </c>
      <c r="AV1" s="4">
        <v>5.1395833333333334</v>
      </c>
      <c r="AW1" s="4">
        <v>5.6819444444444445</v>
      </c>
      <c r="AX1" s="4">
        <v>5.9743055555555555</v>
      </c>
      <c r="AY1" s="4">
        <v>6.2666666666666666</v>
      </c>
    </row>
    <row r="2" spans="1:51" ht="28.8" x14ac:dyDescent="0.3">
      <c r="A2" s="5" t="s">
        <v>99</v>
      </c>
      <c r="B2" s="5" t="s">
        <v>100</v>
      </c>
      <c r="C2" s="6">
        <v>57</v>
      </c>
      <c r="D2" s="6">
        <v>6954</v>
      </c>
      <c r="E2" s="5">
        <v>11222023</v>
      </c>
      <c r="F2" s="5" t="s">
        <v>101</v>
      </c>
      <c r="G2" s="7"/>
      <c r="H2" s="7"/>
      <c r="I2" s="7"/>
      <c r="J2" s="7"/>
      <c r="K2" s="6">
        <v>1505.1588059999999</v>
      </c>
      <c r="L2" s="7"/>
      <c r="M2" s="7"/>
      <c r="N2" s="6">
        <v>3761.9928340000001</v>
      </c>
      <c r="O2" s="6">
        <v>1224.5271519999999</v>
      </c>
      <c r="P2" s="6">
        <v>2908.3235970000001</v>
      </c>
      <c r="Q2" s="6">
        <v>626.15800119999994</v>
      </c>
      <c r="R2" s="7"/>
      <c r="S2" s="6">
        <v>1075.856867</v>
      </c>
      <c r="T2" s="6">
        <v>822.06174080000005</v>
      </c>
      <c r="U2" s="6">
        <v>5994.110361</v>
      </c>
      <c r="V2" s="6">
        <v>2206.4620890000001</v>
      </c>
      <c r="W2" s="6">
        <v>13572.850630000001</v>
      </c>
      <c r="X2" s="6">
        <v>3452.1729690000002</v>
      </c>
      <c r="Y2" s="7"/>
      <c r="Z2" s="7"/>
      <c r="AA2" s="6">
        <v>1117.7640429999999</v>
      </c>
      <c r="AB2" s="6">
        <v>879.94707210000001</v>
      </c>
      <c r="AC2" s="7"/>
      <c r="AD2" s="7"/>
      <c r="AE2" s="7"/>
      <c r="AF2" s="7"/>
      <c r="AG2" s="7"/>
      <c r="AH2" s="7"/>
      <c r="AI2" s="7"/>
      <c r="AJ2" s="7"/>
      <c r="AK2" s="6">
        <v>936.34954519999997</v>
      </c>
      <c r="AL2" s="6">
        <v>3030.4579910000002</v>
      </c>
      <c r="AM2" s="6">
        <v>5765.3862259999996</v>
      </c>
      <c r="AN2" s="7"/>
      <c r="AO2" s="6">
        <v>3971.754911</v>
      </c>
      <c r="AP2" s="6">
        <v>601.04012150000005</v>
      </c>
      <c r="AQ2" s="6">
        <v>1145.4607020000001</v>
      </c>
      <c r="AR2" s="7"/>
      <c r="AS2" s="7"/>
      <c r="AT2" s="7"/>
      <c r="AU2" s="6">
        <v>2654.586992</v>
      </c>
      <c r="AV2" s="6">
        <v>1016.290047</v>
      </c>
      <c r="AW2" s="6">
        <v>4731.678621</v>
      </c>
      <c r="AX2" s="6">
        <v>3176.0368440000002</v>
      </c>
      <c r="AY2" s="6">
        <v>8129.6593389999998</v>
      </c>
    </row>
    <row r="3" spans="1:51" ht="28.8" x14ac:dyDescent="0.3">
      <c r="A3" s="5" t="s">
        <v>99</v>
      </c>
      <c r="B3" s="5" t="s">
        <v>100</v>
      </c>
      <c r="C3" s="6">
        <v>58</v>
      </c>
      <c r="D3" s="6">
        <v>6955</v>
      </c>
      <c r="E3" s="5">
        <v>11222023</v>
      </c>
      <c r="F3" s="5" t="s">
        <v>102</v>
      </c>
      <c r="G3" s="7"/>
      <c r="H3" s="7"/>
      <c r="I3" s="7"/>
      <c r="J3" s="6">
        <v>702.57640160000005</v>
      </c>
      <c r="K3" s="6">
        <v>1828.399611</v>
      </c>
      <c r="L3" s="6">
        <v>1022.481536</v>
      </c>
      <c r="M3" s="7"/>
      <c r="N3" s="6">
        <v>6457.1095260000002</v>
      </c>
      <c r="O3" s="6">
        <v>1485.2269209999999</v>
      </c>
      <c r="P3" s="6">
        <v>4319.5070820000001</v>
      </c>
      <c r="Q3" s="6">
        <v>1252.956909</v>
      </c>
      <c r="R3" s="6">
        <v>686.52370269999994</v>
      </c>
      <c r="S3" s="6">
        <v>2383.6315549999999</v>
      </c>
      <c r="T3" s="6">
        <v>1322.66184</v>
      </c>
      <c r="U3" s="6">
        <v>8645.0353759999998</v>
      </c>
      <c r="V3" s="6">
        <v>4340.0829190000004</v>
      </c>
      <c r="W3" s="6">
        <v>18690.065699999999</v>
      </c>
      <c r="X3" s="6">
        <v>7403.4264149999999</v>
      </c>
      <c r="Y3" s="6">
        <v>1455.564777</v>
      </c>
      <c r="Z3" s="7"/>
      <c r="AA3" s="6">
        <v>2585.8934399999998</v>
      </c>
      <c r="AB3" s="6">
        <v>1568.477167</v>
      </c>
      <c r="AC3" s="6">
        <v>834.31831409999995</v>
      </c>
      <c r="AD3" s="6">
        <v>546.04795709999996</v>
      </c>
      <c r="AE3" s="6">
        <v>1587.146504</v>
      </c>
      <c r="AF3" s="7"/>
      <c r="AG3" s="6">
        <v>828.00236389999998</v>
      </c>
      <c r="AH3" s="6">
        <v>723.09100739999997</v>
      </c>
      <c r="AI3" s="6">
        <v>867.29397659999995</v>
      </c>
      <c r="AJ3" s="6">
        <v>598.49554090000004</v>
      </c>
      <c r="AK3" s="6">
        <v>1917.1922480000001</v>
      </c>
      <c r="AL3" s="6">
        <v>5713.4723180000001</v>
      </c>
      <c r="AM3" s="6">
        <v>10377.81054</v>
      </c>
      <c r="AN3" s="7"/>
      <c r="AO3" s="6">
        <v>5112.4509950000001</v>
      </c>
      <c r="AP3" s="6">
        <v>1624.685538</v>
      </c>
      <c r="AQ3" s="6">
        <v>1895.490706</v>
      </c>
      <c r="AR3" s="7"/>
      <c r="AS3" s="6">
        <v>1823.759384</v>
      </c>
      <c r="AT3" s="6">
        <v>622.04873529999998</v>
      </c>
      <c r="AU3" s="6">
        <v>2830.9399069999999</v>
      </c>
      <c r="AV3" s="6">
        <v>1423.1057679999999</v>
      </c>
      <c r="AW3" s="6">
        <v>5537.9225560000004</v>
      </c>
      <c r="AX3" s="6">
        <v>4448.2456300000003</v>
      </c>
      <c r="AY3" s="6">
        <v>10510.195239999999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0338a6-9561-4ee8-b8d6-4e89cbd520a0}" enabled="0" method="" siteId="{0c0338a6-9561-4ee8-b8d6-4e89cbd520a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Verwerkt</vt:lpstr>
      <vt:lpstr>Ruw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Luts Dries</dc:creator>
  <cp:lastModifiedBy>Luts Dries</cp:lastModifiedBy>
  <dcterms:created xsi:type="dcterms:W3CDTF">2026-02-02T15:07:15Z</dcterms:created>
  <dcterms:modified xsi:type="dcterms:W3CDTF">2026-02-02T15:08:52Z</dcterms:modified>
</cp:coreProperties>
</file>