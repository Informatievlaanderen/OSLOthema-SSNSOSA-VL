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maarten_volckaert_ugent_be/Documents/Desktop/A1p3/"/>
    </mc:Choice>
  </mc:AlternateContent>
  <xr:revisionPtr revIDLastSave="3" documentId="8_{5145860B-D4A3-46B5-9C2A-E0364B295669}" xr6:coauthVersionLast="47" xr6:coauthVersionMax="47" xr10:uidLastSave="{F65FFE55-F546-4B3E-B187-545E5990C382}"/>
  <bookViews>
    <workbookView xWindow="-120" yWindow="-120" windowWidth="29040" windowHeight="15840" xr2:uid="{956016DC-B6BB-43B5-97E3-7E0439958765}"/>
  </bookViews>
  <sheets>
    <sheet name="template MC" sheetId="1" r:id="rId1"/>
  </sheets>
  <definedNames>
    <definedName name="_xlnm.Print_Area" localSheetId="0">'template MC'!$A$1:$G$21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<sst xmlns="http://schemas.openxmlformats.org/spreadsheetml/2006/main" count="62" uniqueCount="23">
  <si>
    <t xml:space="preserve">Albon moisture content penetrometer </t>
  </si>
  <si>
    <t>field</t>
  </si>
  <si>
    <t>location</t>
  </si>
  <si>
    <t>depth</t>
  </si>
  <si>
    <t>cupnr</t>
  </si>
  <si>
    <t>mass cup</t>
  </si>
  <si>
    <t>cup + soil</t>
  </si>
  <si>
    <t>+ soil dry</t>
  </si>
  <si>
    <t>MC</t>
  </si>
  <si>
    <t>cm</t>
  </si>
  <si>
    <t>g</t>
  </si>
  <si>
    <t>grav %</t>
  </si>
  <si>
    <t>A1 P2</t>
  </si>
  <si>
    <t>A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</si>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</sst>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5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432D-0FD0-4EF7-9DAC-6657D9E77D05}">
  <dimension ref="A1:H21"/>
  <sheetViews>
    <sheetView tabSelected="1" topLeftCell="A5" workbookViewId="0">
      <selection activeCell="A14" sqref="A14:A21"/>
    </sheetView>
  </sheetViews>
  <sheetFormatPr defaultRowHeight="15"/>
  <cols>
    <col min="1" max="1" width="12.42578125" customWidth="1"/>
    <col min="2" max="3" width="9.140625" style="1"/>
  </cols>
  <sheetData>
    <row r="1" spans="1:8">
      <c r="A1" s="11" t="s">
        <v>0</v>
      </c>
      <c r="B1" s="12"/>
      <c r="C1" s="12"/>
      <c r="D1" s="12"/>
      <c r="E1" s="12"/>
      <c r="F1" s="12"/>
      <c r="G1" s="13"/>
      <c r="H1" s="1"/>
    </row>
    <row r="2" spans="1:8">
      <c r="A2" s="1"/>
      <c r="D2" s="1"/>
      <c r="E2" s="1"/>
      <c r="F2" s="1"/>
      <c r="G2" s="1"/>
      <c r="H2" s="1"/>
    </row>
    <row r="3" spans="1:8">
      <c r="A3" s="14" t="s">
        <v>1</v>
      </c>
      <c r="B3" s="14" t="s">
        <v>2</v>
      </c>
      <c r="C3" s="2" t="s">
        <v>3</v>
      </c>
      <c r="D3" s="14" t="s">
        <v>4</v>
      </c>
      <c r="E3" s="2" t="s">
        <v>5</v>
      </c>
      <c r="F3" s="2" t="s">
        <v>6</v>
      </c>
      <c r="G3" s="3" t="s">
        <v>7</v>
      </c>
      <c r="H3" s="4" t="s">
        <v>8</v>
      </c>
    </row>
    <row r="4" spans="1:8">
      <c r="A4" s="15"/>
      <c r="B4" s="15"/>
      <c r="C4" s="5" t="s">
        <v>9</v>
      </c>
      <c r="D4" s="15"/>
      <c r="E4" s="5" t="s">
        <v>10</v>
      </c>
      <c r="F4" s="5" t="s">
        <v>10</v>
      </c>
      <c r="G4" s="5" t="s">
        <v>10</v>
      </c>
      <c r="H4" s="6" t="s">
        <v>11</v>
      </c>
    </row>
    <row r="5" spans="1:8" ht="18" customHeight="1">
      <c r="A5" s="7" t="s">
        <v>12</v>
      </c>
      <c r="B5" s="7" t="s">
        <v>13</v>
      </c>
      <c r="C5" s="7" t="s">
        <v>14</v>
      </c>
      <c r="D5" s="7">
        <v>152</v>
      </c>
      <c r="E5" s="7">
        <v>23.878</v>
      </c>
      <c r="F5" s="7">
        <v>53.161000000000001</v>
      </c>
      <c r="G5" s="7">
        <v>44.773000000000003</v>
      </c>
      <c r="H5" s="8">
        <f t="shared" ref="H5:H12" si="0">((F5-G5)/(G5-E5))*100</f>
        <v>40.143575017946866</v>
      </c>
    </row>
    <row r="6" spans="1:8" ht="18" customHeight="1">
      <c r="A6" s="7" t="s">
        <v>12</v>
      </c>
      <c r="B6" s="7" t="s">
        <v>13</v>
      </c>
      <c r="C6" s="9" t="s">
        <v>15</v>
      </c>
      <c r="D6" s="7">
        <v>53</v>
      </c>
      <c r="E6" s="7">
        <v>23.904</v>
      </c>
      <c r="F6" s="7">
        <v>57.194000000000003</v>
      </c>
      <c r="G6" s="7">
        <v>49.16</v>
      </c>
      <c r="H6" s="8">
        <f t="shared" si="0"/>
        <v>31.810262907823912</v>
      </c>
    </row>
    <row r="7" spans="1:8" ht="18" customHeight="1">
      <c r="A7" s="7" t="s">
        <v>12</v>
      </c>
      <c r="B7" s="7" t="s">
        <v>13</v>
      </c>
      <c r="C7" s="9" t="s">
        <v>16</v>
      </c>
      <c r="D7" s="7">
        <v>138</v>
      </c>
      <c r="E7" s="7">
        <v>24.507000000000001</v>
      </c>
      <c r="F7" s="7">
        <v>79.686000000000007</v>
      </c>
      <c r="G7" s="7">
        <v>67.278000000000006</v>
      </c>
      <c r="H7" s="8">
        <f t="shared" si="0"/>
        <v>29.010310724556359</v>
      </c>
    </row>
    <row r="8" spans="1:8" ht="18" customHeight="1">
      <c r="A8" s="7" t="s">
        <v>12</v>
      </c>
      <c r="B8" s="7" t="s">
        <v>13</v>
      </c>
      <c r="C8" s="7" t="s">
        <v>17</v>
      </c>
      <c r="D8" s="7">
        <v>48</v>
      </c>
      <c r="E8" s="7">
        <v>19.760000000000002</v>
      </c>
      <c r="F8" s="7">
        <v>97.876999999999995</v>
      </c>
      <c r="G8" s="7">
        <v>82.834999999999994</v>
      </c>
      <c r="H8" s="8">
        <f t="shared" si="0"/>
        <v>23.847800237812137</v>
      </c>
    </row>
    <row r="9" spans="1:8" ht="18" customHeight="1">
      <c r="A9" s="7" t="s">
        <v>12</v>
      </c>
      <c r="B9" s="7" t="s">
        <v>13</v>
      </c>
      <c r="C9" s="7" t="s">
        <v>18</v>
      </c>
      <c r="D9" s="7">
        <v>88</v>
      </c>
      <c r="E9" s="7">
        <v>23.843</v>
      </c>
      <c r="F9" s="7">
        <v>94.519000000000005</v>
      </c>
      <c r="G9" s="7">
        <v>80.588999999999999</v>
      </c>
      <c r="H9" s="8">
        <f t="shared" si="0"/>
        <v>24.54798576111093</v>
      </c>
    </row>
    <row r="10" spans="1:8" ht="18" customHeight="1">
      <c r="A10" s="7" t="s">
        <v>12</v>
      </c>
      <c r="B10" s="7" t="s">
        <v>13</v>
      </c>
      <c r="C10" s="7" t="s">
        <v>19</v>
      </c>
      <c r="D10" s="7">
        <v>198</v>
      </c>
      <c r="E10" s="7">
        <v>24.481000000000002</v>
      </c>
      <c r="F10" s="7">
        <v>102.91</v>
      </c>
      <c r="G10" s="7">
        <v>87.248000000000005</v>
      </c>
      <c r="H10" s="8">
        <f t="shared" si="0"/>
        <v>24.952602482196045</v>
      </c>
    </row>
    <row r="11" spans="1:8" ht="18" customHeight="1">
      <c r="A11" s="7" t="s">
        <v>12</v>
      </c>
      <c r="B11" s="7" t="s">
        <v>13</v>
      </c>
      <c r="C11" s="7" t="s">
        <v>20</v>
      </c>
      <c r="D11" s="7">
        <v>24</v>
      </c>
      <c r="E11" s="7">
        <v>24.344999999999999</v>
      </c>
      <c r="F11" s="7">
        <v>110.72199999999999</v>
      </c>
      <c r="G11" s="7">
        <v>92.771000000000001</v>
      </c>
      <c r="H11" s="8">
        <f t="shared" si="0"/>
        <v>26.234179990062245</v>
      </c>
    </row>
    <row r="12" spans="1:8" ht="18" customHeight="1">
      <c r="A12" s="7" t="s">
        <v>12</v>
      </c>
      <c r="B12" s="7" t="s">
        <v>13</v>
      </c>
      <c r="C12" s="7" t="s">
        <v>21</v>
      </c>
      <c r="D12" s="7">
        <v>57</v>
      </c>
      <c r="E12" s="7">
        <v>17.584</v>
      </c>
      <c r="F12" s="7">
        <v>81.512</v>
      </c>
      <c r="G12" s="7">
        <v>68.986000000000004</v>
      </c>
      <c r="H12" s="8">
        <f t="shared" si="0"/>
        <v>24.368701606941357</v>
      </c>
    </row>
    <row r="13" spans="1:8" ht="18" customHeight="1">
      <c r="A13" s="10"/>
      <c r="B13" s="7"/>
      <c r="C13" s="7"/>
      <c r="D13" s="7"/>
      <c r="E13" s="7"/>
      <c r="F13" s="7"/>
      <c r="G13" s="7"/>
      <c r="H13" s="10"/>
    </row>
    <row r="14" spans="1:8" ht="18" customHeight="1">
      <c r="A14" s="7" t="s">
        <v>12</v>
      </c>
      <c r="B14" s="7" t="s">
        <v>22</v>
      </c>
      <c r="C14" s="7" t="s">
        <v>14</v>
      </c>
      <c r="D14" s="7">
        <v>187</v>
      </c>
      <c r="E14" s="7">
        <v>23.978999999999999</v>
      </c>
      <c r="F14" s="7">
        <v>65.965999999999994</v>
      </c>
      <c r="G14" s="7">
        <v>52.71</v>
      </c>
      <c r="H14" s="8">
        <f t="shared" ref="H14:H21" si="1">((F14-G14)/(G14-E14))*100</f>
        <v>46.138317496780459</v>
      </c>
    </row>
    <row r="15" spans="1:8" ht="18" customHeight="1">
      <c r="A15" s="7" t="s">
        <v>12</v>
      </c>
      <c r="B15" s="7" t="s">
        <v>22</v>
      </c>
      <c r="C15" s="9" t="s">
        <v>15</v>
      </c>
      <c r="D15" s="7">
        <v>110</v>
      </c>
      <c r="E15" s="7">
        <v>24.757999999999999</v>
      </c>
      <c r="F15" s="7">
        <v>68.412999999999997</v>
      </c>
      <c r="G15" s="7">
        <v>58.908000000000001</v>
      </c>
      <c r="H15" s="8">
        <f t="shared" si="1"/>
        <v>27.833089311859428</v>
      </c>
    </row>
    <row r="16" spans="1:8" ht="18" customHeight="1">
      <c r="A16" s="7" t="s">
        <v>12</v>
      </c>
      <c r="B16" s="7" t="s">
        <v>22</v>
      </c>
      <c r="C16" s="9" t="s">
        <v>16</v>
      </c>
      <c r="D16" s="7">
        <v>54</v>
      </c>
      <c r="E16" s="7">
        <v>19.783999999999999</v>
      </c>
      <c r="F16" s="7">
        <v>81.004999999999995</v>
      </c>
      <c r="G16" s="7">
        <v>68.748999999999995</v>
      </c>
      <c r="H16" s="8">
        <f t="shared" si="1"/>
        <v>25.030123557643218</v>
      </c>
    </row>
    <row r="17" spans="1:8" ht="18" customHeight="1">
      <c r="A17" s="7" t="s">
        <v>12</v>
      </c>
      <c r="B17" s="7" t="s">
        <v>22</v>
      </c>
      <c r="C17" s="7" t="s">
        <v>17</v>
      </c>
      <c r="D17" s="7">
        <v>126</v>
      </c>
      <c r="E17" s="7">
        <v>24.26</v>
      </c>
      <c r="F17" s="7">
        <v>97.518000000000001</v>
      </c>
      <c r="G17" s="7">
        <v>83.674000000000007</v>
      </c>
      <c r="H17" s="8">
        <f t="shared" si="1"/>
        <v>23.300905510485734</v>
      </c>
    </row>
    <row r="18" spans="1:8" ht="18" customHeight="1">
      <c r="A18" s="7" t="s">
        <v>12</v>
      </c>
      <c r="B18" s="7" t="s">
        <v>22</v>
      </c>
      <c r="C18" s="7" t="s">
        <v>18</v>
      </c>
      <c r="D18" s="7">
        <v>104</v>
      </c>
      <c r="E18" s="7">
        <v>22.379000000000001</v>
      </c>
      <c r="F18" s="7">
        <v>98.923000000000002</v>
      </c>
      <c r="G18" s="7">
        <v>85.805000000000007</v>
      </c>
      <c r="H18" s="8">
        <f t="shared" si="1"/>
        <v>20.682370005991224</v>
      </c>
    </row>
    <row r="19" spans="1:8" ht="18" customHeight="1">
      <c r="A19" s="7" t="s">
        <v>12</v>
      </c>
      <c r="B19" s="7" t="s">
        <v>22</v>
      </c>
      <c r="C19" s="7" t="s">
        <v>19</v>
      </c>
      <c r="D19" s="7">
        <v>135</v>
      </c>
      <c r="E19" s="7">
        <v>19.085000000000001</v>
      </c>
      <c r="F19" s="7">
        <v>94.831000000000003</v>
      </c>
      <c r="G19" s="7">
        <v>80.989000000000004</v>
      </c>
      <c r="H19" s="8">
        <f t="shared" si="1"/>
        <v>22.360429051434476</v>
      </c>
    </row>
    <row r="20" spans="1:8" ht="18" customHeight="1">
      <c r="A20" s="7" t="s">
        <v>12</v>
      </c>
      <c r="B20" s="7" t="s">
        <v>22</v>
      </c>
      <c r="C20" s="7" t="s">
        <v>20</v>
      </c>
      <c r="D20" s="7">
        <v>50</v>
      </c>
      <c r="E20" s="7">
        <v>23.87</v>
      </c>
      <c r="F20" s="7">
        <v>101.092</v>
      </c>
      <c r="G20" s="7">
        <v>85.563999999999993</v>
      </c>
      <c r="H20" s="8">
        <f t="shared" si="1"/>
        <v>25.169384380977096</v>
      </c>
    </row>
    <row r="21" spans="1:8" ht="18" customHeight="1">
      <c r="A21" s="7" t="s">
        <v>12</v>
      </c>
      <c r="B21" s="7" t="s">
        <v>22</v>
      </c>
      <c r="C21" s="7" t="s">
        <v>21</v>
      </c>
      <c r="D21" s="7">
        <v>178</v>
      </c>
      <c r="E21" s="7">
        <v>24.686</v>
      </c>
      <c r="F21" s="7">
        <v>99.025999999999996</v>
      </c>
      <c r="G21" s="7">
        <v>83.86</v>
      </c>
      <c r="H21" s="8">
        <f t="shared" si="1"/>
        <v>25.629499442322633</v>
      </c>
    </row>
  </sheetData>
  <mergeCells count="4">
    <mergeCell ref="A1:G1"/>
    <mergeCell ref="A3:A4"/>
    <mergeCell ref="B3:B4"/>
    <mergeCell ref="D3:D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3A9114763664F9C56E57D577D2764" ma:contentTypeVersion="14" ma:contentTypeDescription="Een nieuw document maken." ma:contentTypeScope="" ma:versionID="0d9a42a45e0f47d5c3849d0b0fe7f806">
  <xsd:schema xmlns:xsd="http://www.w3.org/2001/XMLSchema" xmlns:xs="http://www.w3.org/2001/XMLSchema" xmlns:p="http://schemas.microsoft.com/office/2006/metadata/properties" xmlns:ns2="21681345-0d3c-4e52-83bc-1a5f64f3777b" xmlns:ns3="5225100c-9e77-48be-be61-4486417937b6" targetNamespace="http://schemas.microsoft.com/office/2006/metadata/properties" ma:root="true" ma:fieldsID="cddea60edc959fe3b7677879ae878733" ns2:_="" ns3:_="">
    <xsd:import namespace="21681345-0d3c-4e52-83bc-1a5f64f3777b"/>
    <xsd:import namespace="5225100c-9e77-48be-be61-4486417937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81345-0d3c-4e52-83bc-1a5f64f37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5100c-9e77-48be-be61-448641793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57b347-5bd3-4474-97ca-b73963fef401}" ma:internalName="TaxCatchAll" ma:showField="CatchAllData" ma:web="5225100c-9e77-48be-be61-4486417937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681345-0d3c-4e52-83bc-1a5f64f3777b">
      <Terms xmlns="http://schemas.microsoft.com/office/infopath/2007/PartnerControls"/>
    </lcf76f155ced4ddcb4097134ff3c332f>
    <TaxCatchAll xmlns="5225100c-9e77-48be-be61-4486417937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FDAA4-651A-496F-B0F2-3021BE446476}"/>
</file>

<file path=customXml/itemProps2.xml><?xml version="1.0" encoding="utf-8"?>
<ds:datastoreItem xmlns:ds="http://schemas.openxmlformats.org/officeDocument/2006/customXml" ds:itemID="{D2956FD3-9AF2-476A-84FB-274AFC5FEDB0}"/>
</file>

<file path=customXml/itemProps3.xml><?xml version="1.0" encoding="utf-8"?>
<ds:datastoreItem xmlns:ds="http://schemas.openxmlformats.org/officeDocument/2006/customXml" ds:itemID="{757D897D-5684-4436-8E7C-5505DA810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Volckaert</dc:creator>
  <cp:keywords/>
  <dc:description/>
  <cp:lastModifiedBy>Maarten Volckaert</cp:lastModifiedBy>
  <cp:revision/>
  <dcterms:created xsi:type="dcterms:W3CDTF">2024-04-24T12:13:25Z</dcterms:created>
  <dcterms:modified xsi:type="dcterms:W3CDTF">2024-05-14T08:31:43Z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0x0101000FA3A9114763664F9C56E57D577D2764</vt:lpwstr>
  </property>
  <property fmtid="{D5CDD505-2E9C-101B-9397-08002B2CF9AE}" pid="3" name="MediaServiceImageTags">
    <vt:lpwstr/>
  </property>
</Properties>
</file>