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dries_luts_vlaanderen_be/Documents/Documenten/DOV/Analyses/Bodembiodiversiteit/"/>
    </mc:Choice>
  </mc:AlternateContent>
  <xr:revisionPtr revIDLastSave="0" documentId="8_{FFB950C0-3BB9-420A-ACF1-3CF98938FAF7}" xr6:coauthVersionLast="47" xr6:coauthVersionMax="47" xr10:uidLastSave="{00000000-0000-0000-0000-000000000000}"/>
  <bookViews>
    <workbookView xWindow="-120" yWindow="-18120" windowWidth="29040" windowHeight="17520" xr2:uid="{57EFBEDD-7DBE-42A4-9FAC-E377A5CBCF8A}"/>
  </bookViews>
  <sheets>
    <sheet name="Blad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3" i="1" l="1"/>
  <c r="CP3" i="1"/>
  <c r="CO3" i="1"/>
  <c r="CN3" i="1"/>
  <c r="CM3" i="1"/>
  <c r="CL3" i="1"/>
  <c r="CI3" i="1"/>
  <c r="CH3" i="1"/>
  <c r="CG3" i="1"/>
  <c r="CF3" i="1"/>
  <c r="CC3" i="1"/>
  <c r="CB3" i="1"/>
  <c r="BY3" i="1"/>
  <c r="BX3" i="1"/>
  <c r="BU3" i="1"/>
  <c r="BT3" i="1"/>
  <c r="BE3" i="1"/>
  <c r="BA3" i="1"/>
  <c r="AW3" i="1"/>
  <c r="AS3" i="1"/>
  <c r="AP3" i="1"/>
  <c r="AG3" i="1" s="1"/>
  <c r="AO3" i="1"/>
  <c r="AN3" i="1"/>
  <c r="AL3" i="1"/>
  <c r="AJ3" i="1"/>
  <c r="AF3" i="1"/>
  <c r="AB3" i="1"/>
  <c r="Y3" i="1"/>
  <c r="X3" i="1"/>
  <c r="W3" i="1"/>
  <c r="AM3" i="1" s="1"/>
  <c r="V3" i="1"/>
  <c r="U3" i="1"/>
  <c r="CA3" i="1" s="1"/>
  <c r="T3" i="1"/>
  <c r="S3" i="1"/>
  <c r="AA3" i="1" s="1"/>
  <c r="AR3" i="1" s="1"/>
  <c r="AI3" i="1" s="1"/>
  <c r="R3" i="1"/>
  <c r="Z3" i="1" s="1"/>
  <c r="AQ3" i="1" s="1"/>
  <c r="AH3" i="1" s="1"/>
  <c r="Q3" i="1"/>
  <c r="BZ3" i="1" s="1"/>
  <c r="G3" i="1"/>
  <c r="AK3" i="1" s="1"/>
  <c r="F3" i="1"/>
  <c r="BV3" i="1" s="1"/>
  <c r="CQ2" i="1"/>
  <c r="CP2" i="1"/>
  <c r="CO2" i="1"/>
  <c r="CN2" i="1"/>
  <c r="CM2" i="1"/>
  <c r="CL2" i="1"/>
  <c r="CI2" i="1"/>
  <c r="CH2" i="1"/>
  <c r="CG2" i="1"/>
  <c r="CF2" i="1"/>
  <c r="CC2" i="1"/>
  <c r="CB2" i="1"/>
  <c r="BY2" i="1"/>
  <c r="BX2" i="1"/>
  <c r="BW2" i="1"/>
  <c r="BU2" i="1"/>
  <c r="BT2" i="1"/>
  <c r="BE2" i="1"/>
  <c r="BA2" i="1"/>
  <c r="AW2" i="1"/>
  <c r="AS2" i="1"/>
  <c r="AO2" i="1"/>
  <c r="AN2" i="1"/>
  <c r="AK2" i="1"/>
  <c r="AJ2" i="1"/>
  <c r="AF2" i="1"/>
  <c r="AB2" i="1"/>
  <c r="Y2" i="1"/>
  <c r="AP2" i="1" s="1"/>
  <c r="AG2" i="1" s="1"/>
  <c r="X2" i="1"/>
  <c r="W2" i="1"/>
  <c r="AE2" i="1" s="1"/>
  <c r="V2" i="1"/>
  <c r="CA2" i="1" s="1"/>
  <c r="U2" i="1"/>
  <c r="CK2" i="1" s="1"/>
  <c r="T2" i="1"/>
  <c r="S2" i="1"/>
  <c r="AA2" i="1" s="1"/>
  <c r="AR2" i="1" s="1"/>
  <c r="AI2" i="1" s="1"/>
  <c r="R2" i="1"/>
  <c r="Z2" i="1" s="1"/>
  <c r="AQ2" i="1" s="1"/>
  <c r="AH2" i="1" s="1"/>
  <c r="Q2" i="1"/>
  <c r="CJ2" i="1" s="1"/>
  <c r="G2" i="1"/>
  <c r="F2" i="1"/>
  <c r="BV2" i="1" s="1"/>
  <c r="AV3" i="1" l="1"/>
  <c r="BD3" i="1"/>
  <c r="AV2" i="1"/>
  <c r="AT2" i="1"/>
  <c r="AX2" i="1" s="1"/>
  <c r="BB2" i="1" s="1"/>
  <c r="AU3" i="1"/>
  <c r="AY3" i="1" s="1"/>
  <c r="BC3" i="1" s="1"/>
  <c r="AT3" i="1"/>
  <c r="AX3" i="1" s="1"/>
  <c r="BB3" i="1" s="1"/>
  <c r="AU2" i="1"/>
  <c r="AZ3" i="1"/>
  <c r="AL2" i="1"/>
  <c r="AC3" i="1"/>
  <c r="CJ3" i="1"/>
  <c r="BZ2" i="1"/>
  <c r="AD3" i="1"/>
  <c r="AE3" i="1"/>
  <c r="CK3" i="1"/>
  <c r="BW3" i="1"/>
  <c r="AC2" i="1"/>
  <c r="AD2" i="1"/>
  <c r="AM2" i="1"/>
  <c r="AZ2" i="1" s="1"/>
  <c r="BD2" i="1" s="1"/>
  <c r="AY2" i="1" l="1"/>
  <c r="BC2" i="1" s="1"/>
</calcChain>
</file>

<file path=xl/sharedStrings.xml><?xml version="1.0" encoding="utf-8"?>
<sst xmlns="http://schemas.openxmlformats.org/spreadsheetml/2006/main" count="114" uniqueCount="106">
  <si>
    <t>BOX0418</t>
  </si>
  <si>
    <t/>
  </si>
  <si>
    <t>Veel afbraak traag</t>
  </si>
  <si>
    <t>Goed</t>
  </si>
  <si>
    <t>goed</t>
  </si>
  <si>
    <t>BOX0708</t>
  </si>
  <si>
    <t>BoxNr</t>
  </si>
  <si>
    <t>RegID</t>
  </si>
  <si>
    <t>DateOfBurial</t>
  </si>
  <si>
    <t>InitialWeightGreenTeaBagCordLabel</t>
  </si>
  <si>
    <t>InitialWeightRedTeaBagCordLabel</t>
  </si>
  <si>
    <t>InitialWeightGreenTea_TeaOnly</t>
  </si>
  <si>
    <t>InitialWeightRedTea_TeaOnly</t>
  </si>
  <si>
    <t>RecoveryDate</t>
  </si>
  <si>
    <t>FinalWeightGreenTeaBagCordLabel_1</t>
  </si>
  <si>
    <t>FinalWeightGreenTeaBagCordLabel_2</t>
  </si>
  <si>
    <t>FinalWeightGreenTeaBagCordLabel_3</t>
  </si>
  <si>
    <t>FinalWeightGreenTeaBagCordLabel_4</t>
  </si>
  <si>
    <t>FinalWeightRedTeaBagCordLabel_1</t>
  </si>
  <si>
    <t>FinalWeightRedTeaBagCordLabel_2</t>
  </si>
  <si>
    <t>FinalWeightRedTeaBagCordLabel_3</t>
  </si>
  <si>
    <t>FinalWeightRedTeaBagCordLabel_4</t>
  </si>
  <si>
    <t>FinalWeightGreenTeaBagOnly_1</t>
  </si>
  <si>
    <t>FinalWeightGreenTeaBagOnly_2</t>
  </si>
  <si>
    <t>FinalWeightGreenTeaBagOnly_3</t>
  </si>
  <si>
    <t>FinalWeightGreenTeaBagOnly_4</t>
  </si>
  <si>
    <t>FinalWeightRedTeaBagOnly_1</t>
  </si>
  <si>
    <t>FinalWeightRedTeaBagOnly_2</t>
  </si>
  <si>
    <t>FinalWeightRedTeaBagOnly_3</t>
  </si>
  <si>
    <t>FinalWeightRedTeaBagOnly_4</t>
  </si>
  <si>
    <t>FractionDecomposedGreenTea_1</t>
  </si>
  <si>
    <t>FractionDecomposedGreenTea_2</t>
  </si>
  <si>
    <t>FractionDecomposedGreenTea_3</t>
  </si>
  <si>
    <t>FractionDecomposedGreenTea_4</t>
  </si>
  <si>
    <t>FractionDecomposedRedTea_1</t>
  </si>
  <si>
    <t>FractionDecomposedRedTea_2</t>
  </si>
  <si>
    <t>FractionDecomposedRedTea_3</t>
  </si>
  <si>
    <t>FractionDecomposedRedTea_4</t>
  </si>
  <si>
    <t>PredictedLabileFractionRedTea_1</t>
  </si>
  <si>
    <t>PredictedLabileFractionRedTea_2</t>
  </si>
  <si>
    <t>PredictedLabileFractionRedTea_3</t>
  </si>
  <si>
    <t>PredictedLabileFractionRedTea_4</t>
  </si>
  <si>
    <t>FractionRemainingRedTea_1</t>
  </si>
  <si>
    <t>FractionRemainingRedTea_2</t>
  </si>
  <si>
    <t>FractionRemainingRedTea_3</t>
  </si>
  <si>
    <t>FractionRemainingRedTea_4</t>
  </si>
  <si>
    <t>IncubationTime</t>
  </si>
  <si>
    <t>S_1</t>
  </si>
  <si>
    <t>S_2</t>
  </si>
  <si>
    <t>S_3</t>
  </si>
  <si>
    <t>S_4</t>
  </si>
  <si>
    <t>1-AG</t>
  </si>
  <si>
    <t>1-AH</t>
  </si>
  <si>
    <t>1-AI</t>
  </si>
  <si>
    <t>1-AJ</t>
  </si>
  <si>
    <t>1-AS</t>
  </si>
  <si>
    <t>1-AT</t>
  </si>
  <si>
    <t>1-AU</t>
  </si>
  <si>
    <t>1-AV</t>
  </si>
  <si>
    <t>k_1</t>
  </si>
  <si>
    <t>k_2</t>
  </si>
  <si>
    <t>k_3</t>
  </si>
  <si>
    <t>k_4</t>
  </si>
  <si>
    <t>S_average</t>
  </si>
  <si>
    <t>S_stdev</t>
  </si>
  <si>
    <t>k_average</t>
  </si>
  <si>
    <t>k_stdev</t>
  </si>
  <si>
    <t>PercentageDecomposedGreenTea_1</t>
  </si>
  <si>
    <t>PercentageDecomposedGreenTea_2</t>
  </si>
  <si>
    <t>PercentageDecomposedGreenTea_3</t>
  </si>
  <si>
    <t>PercentageDecomposedGreenTea_4</t>
  </si>
  <si>
    <t>PercentageDecomposedRedTea_1</t>
  </si>
  <si>
    <t>PercentageDecomposedRedTea_2</t>
  </si>
  <si>
    <t>PercentageDecomposedRedTea_3</t>
  </si>
  <si>
    <t>PercentageDecomposedRedTea_4</t>
  </si>
  <si>
    <t>PercentageDecomposedGreenAverage</t>
  </si>
  <si>
    <t>PercentageDecomposedRedAverage</t>
  </si>
  <si>
    <t>InitialWeightGreenTeaBagCordLabel_Average</t>
  </si>
  <si>
    <t>InitialWeightRedTeaBagCordLabel_Average</t>
  </si>
  <si>
    <t>InitialWeightGreenTea_TeaOnly_Average</t>
  </si>
  <si>
    <t>InitialWeightRedTea_TeaOnly_Average</t>
  </si>
  <si>
    <t>FinalWeightGreenTeaBagCordLabel_Average</t>
  </si>
  <si>
    <t>FinalWeightRedTeaBagCordLabel_Average</t>
  </si>
  <si>
    <t>FinalWeightGreenTeaBagOnly_Average</t>
  </si>
  <si>
    <t>FinalWeightRedTeaBagOnly_Average</t>
  </si>
  <si>
    <t>PercentageDecomposedGreen_Stdev</t>
  </si>
  <si>
    <t>PercentageDecomposedRed_Stdev</t>
  </si>
  <si>
    <t>InitialWeightGreenTeaBagCordLabel_Stdev</t>
  </si>
  <si>
    <t>InitialWeightRedTeaBagCordLabel_Stdev</t>
  </si>
  <si>
    <t>InitialWeightGreenTea_TeaOnly_Stdev</t>
  </si>
  <si>
    <t>InitialWeightRedTea_TeaOnly_Stdev</t>
  </si>
  <si>
    <t>FinalWeightGreenTeaBagCordLabel_Stdev</t>
  </si>
  <si>
    <t>FinalWeightRedTeaBagCordLabel_Stdev</t>
  </si>
  <si>
    <t>FinalWeightGreenTeaBagOnly_Stdev</t>
  </si>
  <si>
    <t>FinalWeightRedTeaBagOnly_Stdev</t>
  </si>
  <si>
    <t>S_Score</t>
  </si>
  <si>
    <t>S_ScoreInterpret</t>
  </si>
  <si>
    <t>K_Score</t>
  </si>
  <si>
    <t>K_ScoreInterpret</t>
  </si>
  <si>
    <t>PercentageGreenDecomposed_Score</t>
  </si>
  <si>
    <t>PercentageRedDecomposed_Score</t>
  </si>
  <si>
    <t>SK_Score</t>
  </si>
  <si>
    <t>RegID2</t>
  </si>
  <si>
    <t>S_ScoreGoed</t>
  </si>
  <si>
    <t>k_ScoreGoed</t>
  </si>
  <si>
    <t>FinalSKScore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</si>
</sst>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yy;@"/>
    <numFmt numFmtId="165" formatCode="0.000"/>
    <numFmt numFmtId="166" formatCode="dd\.mm\.yyyy;@"/>
  </numFmts>
  <fonts count="4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0"/>
      <color theme="1"/>
      <name val="Consolas"/>
      <family val="3"/>
    </font>
    <font>
      <sz val="10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5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165" fontId="2" fillId="0" borderId="0" xfId="0" applyNumberFormat="1" applyFont="1"/>
    <xf numFmtId="1" fontId="2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vertical="center" wrapText="1"/>
    </xf>
    <xf numFmtId="166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1" fillId="2" borderId="1" xfId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1" applyBorder="1" applyAlignment="1">
      <alignment horizontal="right" vertical="center" wrapText="1"/>
    </xf>
    <xf numFmtId="0" fontId="1" fillId="2" borderId="1" xfId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2">
    <cellStyle name="Neutraal" xfId="1" builtinId="2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laamseoverheid-my.sharepoint.com/personal/max_vercruyssen_vlaanderen_be/Documents/SANDBOX/002_Bodemleven/Bodemleven/Theezakjes_original.xlsx" TargetMode="External"/><Relationship Id="rId1" Type="http://schemas.openxmlformats.org/officeDocument/2006/relationships/externalLinkPath" Target="/personal/max_vercruyssen_vlaanderen_be/Documents/SANDBOX/002_Bodemleven/Bodemleven/Theezakjes_orig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l_tea"/>
      <sheetName val="fixed_values"/>
      <sheetName val="Blad1"/>
    </sheetNames>
    <sheetDataSet>
      <sheetData sheetId="0"/>
      <sheetData sheetId="1">
        <row r="6">
          <cell r="F6">
            <v>0.84199999999999997</v>
          </cell>
        </row>
        <row r="7">
          <cell r="F7">
            <v>0.55200000000000005</v>
          </cell>
        </row>
        <row r="10">
          <cell r="G10">
            <v>0.13780000000000001</v>
          </cell>
        </row>
        <row r="11">
          <cell r="G11">
            <v>9.1759999999999994E-2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45258-A9B6-4DB3-B91B-B9C2474148D3}">
  <dimension ref="A1:CV3"/>
  <sheetViews>
    <sheetView tabSelected="1" workbookViewId="0">
      <selection sqref="A1:XFD3"/>
    </sheetView>
  </sheetViews>
  <sheetFormatPr defaultRowHeight="14.4" x14ac:dyDescent="0.3"/>
  <sheetData>
    <row r="1" spans="1:100" s="34" customFormat="1" ht="57" customHeight="1" x14ac:dyDescent="0.3">
      <c r="A1" s="10" t="s">
        <v>6</v>
      </c>
      <c r="B1" s="10" t="s">
        <v>7</v>
      </c>
      <c r="C1" s="11" t="s">
        <v>8</v>
      </c>
      <c r="D1" s="12" t="s">
        <v>9</v>
      </c>
      <c r="E1" s="12" t="s">
        <v>10</v>
      </c>
      <c r="F1" s="13" t="s">
        <v>11</v>
      </c>
      <c r="G1" s="14" t="s">
        <v>12</v>
      </c>
      <c r="H1" s="11" t="s">
        <v>13</v>
      </c>
      <c r="I1" s="15" t="s">
        <v>14</v>
      </c>
      <c r="J1" s="16" t="s">
        <v>15</v>
      </c>
      <c r="K1" s="16" t="s">
        <v>16</v>
      </c>
      <c r="L1" s="16" t="s">
        <v>17</v>
      </c>
      <c r="M1" s="17" t="s">
        <v>18</v>
      </c>
      <c r="N1" s="17" t="s">
        <v>19</v>
      </c>
      <c r="O1" s="17" t="s">
        <v>20</v>
      </c>
      <c r="P1" s="17" t="s">
        <v>21</v>
      </c>
      <c r="Q1" s="18" t="s">
        <v>22</v>
      </c>
      <c r="R1" s="18" t="s">
        <v>23</v>
      </c>
      <c r="S1" s="18" t="s">
        <v>24</v>
      </c>
      <c r="T1" s="18" t="s">
        <v>25</v>
      </c>
      <c r="U1" s="19" t="s">
        <v>26</v>
      </c>
      <c r="V1" s="19" t="s">
        <v>27</v>
      </c>
      <c r="W1" s="19" t="s">
        <v>28</v>
      </c>
      <c r="X1" s="19" t="s">
        <v>29</v>
      </c>
      <c r="Y1" s="13" t="s">
        <v>30</v>
      </c>
      <c r="Z1" s="13" t="s">
        <v>31</v>
      </c>
      <c r="AA1" s="13" t="s">
        <v>32</v>
      </c>
      <c r="AB1" s="13" t="s">
        <v>33</v>
      </c>
      <c r="AC1" s="20" t="s">
        <v>34</v>
      </c>
      <c r="AD1" s="20" t="s">
        <v>35</v>
      </c>
      <c r="AE1" s="20" t="s">
        <v>36</v>
      </c>
      <c r="AF1" s="20" t="s">
        <v>37</v>
      </c>
      <c r="AG1" s="21" t="s">
        <v>38</v>
      </c>
      <c r="AH1" s="21" t="s">
        <v>39</v>
      </c>
      <c r="AI1" s="21" t="s">
        <v>40</v>
      </c>
      <c r="AJ1" s="21" t="s">
        <v>41</v>
      </c>
      <c r="AK1" s="22" t="s">
        <v>42</v>
      </c>
      <c r="AL1" s="22" t="s">
        <v>43</v>
      </c>
      <c r="AM1" s="22" t="s">
        <v>44</v>
      </c>
      <c r="AN1" s="22" t="s">
        <v>45</v>
      </c>
      <c r="AO1" s="23" t="s">
        <v>46</v>
      </c>
      <c r="AP1" s="24" t="s">
        <v>47</v>
      </c>
      <c r="AQ1" s="24" t="s">
        <v>48</v>
      </c>
      <c r="AR1" s="24" t="s">
        <v>49</v>
      </c>
      <c r="AS1" s="24" t="s">
        <v>50</v>
      </c>
      <c r="AT1" s="25" t="s">
        <v>51</v>
      </c>
      <c r="AU1" s="25" t="s">
        <v>52</v>
      </c>
      <c r="AV1" s="25" t="s">
        <v>53</v>
      </c>
      <c r="AW1" s="25" t="s">
        <v>54</v>
      </c>
      <c r="AX1" s="26" t="s">
        <v>55</v>
      </c>
      <c r="AY1" s="26" t="s">
        <v>56</v>
      </c>
      <c r="AZ1" s="26" t="s">
        <v>57</v>
      </c>
      <c r="BA1" s="26" t="s">
        <v>58</v>
      </c>
      <c r="BB1" s="20" t="s">
        <v>59</v>
      </c>
      <c r="BC1" s="20" t="s">
        <v>60</v>
      </c>
      <c r="BD1" s="20" t="s">
        <v>61</v>
      </c>
      <c r="BE1" s="20" t="s">
        <v>62</v>
      </c>
      <c r="BF1" s="10" t="s">
        <v>63</v>
      </c>
      <c r="BG1" s="27" t="s">
        <v>64</v>
      </c>
      <c r="BH1" s="10" t="s">
        <v>65</v>
      </c>
      <c r="BI1" s="27" t="s">
        <v>66</v>
      </c>
      <c r="BJ1" s="13" t="s">
        <v>67</v>
      </c>
      <c r="BK1" s="13" t="s">
        <v>68</v>
      </c>
      <c r="BL1" s="13" t="s">
        <v>69</v>
      </c>
      <c r="BM1" s="13" t="s">
        <v>70</v>
      </c>
      <c r="BN1" s="21" t="s">
        <v>71</v>
      </c>
      <c r="BO1" s="21" t="s">
        <v>72</v>
      </c>
      <c r="BP1" s="21" t="s">
        <v>73</v>
      </c>
      <c r="BQ1" s="21" t="s">
        <v>74</v>
      </c>
      <c r="BR1" s="28" t="s">
        <v>75</v>
      </c>
      <c r="BS1" s="28" t="s">
        <v>76</v>
      </c>
      <c r="BT1" s="10" t="s">
        <v>77</v>
      </c>
      <c r="BU1" s="10" t="s">
        <v>78</v>
      </c>
      <c r="BV1" s="10" t="s">
        <v>79</v>
      </c>
      <c r="BW1" s="10" t="s">
        <v>80</v>
      </c>
      <c r="BX1" s="29" t="s">
        <v>81</v>
      </c>
      <c r="BY1" s="30" t="s">
        <v>82</v>
      </c>
      <c r="BZ1" s="30" t="s">
        <v>83</v>
      </c>
      <c r="CA1" s="30" t="s">
        <v>84</v>
      </c>
      <c r="CB1" s="27" t="s">
        <v>85</v>
      </c>
      <c r="CC1" s="27" t="s">
        <v>86</v>
      </c>
      <c r="CD1" s="27" t="s">
        <v>87</v>
      </c>
      <c r="CE1" s="27" t="s">
        <v>88</v>
      </c>
      <c r="CF1" s="27" t="s">
        <v>89</v>
      </c>
      <c r="CG1" s="27" t="s">
        <v>90</v>
      </c>
      <c r="CH1" s="31" t="s">
        <v>91</v>
      </c>
      <c r="CI1" s="32" t="s">
        <v>92</v>
      </c>
      <c r="CJ1" s="32" t="s">
        <v>93</v>
      </c>
      <c r="CK1" s="32" t="s">
        <v>94</v>
      </c>
      <c r="CL1" s="33" t="s">
        <v>95</v>
      </c>
      <c r="CM1" s="33" t="s">
        <v>96</v>
      </c>
      <c r="CN1" s="33" t="s">
        <v>97</v>
      </c>
      <c r="CO1" s="33" t="s">
        <v>98</v>
      </c>
      <c r="CP1" s="33" t="s">
        <v>99</v>
      </c>
      <c r="CQ1" s="33" t="s">
        <v>100</v>
      </c>
      <c r="CR1" s="12" t="s">
        <v>101</v>
      </c>
      <c r="CS1" s="10" t="s">
        <v>102</v>
      </c>
      <c r="CT1" s="23" t="s">
        <v>103</v>
      </c>
      <c r="CU1" s="23" t="s">
        <v>104</v>
      </c>
      <c r="CV1" s="23" t="s">
        <v>105</v>
      </c>
    </row>
    <row r="2" spans="1:100" s="1" customFormat="1" ht="13.2" x14ac:dyDescent="0.25">
      <c r="A2" s="1" t="s">
        <v>0</v>
      </c>
      <c r="B2" s="1">
        <v>129791</v>
      </c>
      <c r="C2" s="2">
        <v>45095</v>
      </c>
      <c r="D2" s="3">
        <v>1.65</v>
      </c>
      <c r="E2" s="3">
        <v>2.15</v>
      </c>
      <c r="F2" s="4">
        <f>IF(D2&gt;0,D2-([1]fixed_values!$G$10+[1]fixed_values!$G$11),"")</f>
        <v>1.4204399999999999</v>
      </c>
      <c r="G2" s="4">
        <f>IF(E2&gt;0,E2-([1]fixed_values!$G$10+[1]fixed_values!$G$11),"")</f>
        <v>1.9204399999999999</v>
      </c>
      <c r="H2" s="2">
        <v>45178</v>
      </c>
      <c r="I2" s="5">
        <v>0.69</v>
      </c>
      <c r="J2" s="1">
        <v>0.65</v>
      </c>
      <c r="K2" s="1">
        <v>0.65</v>
      </c>
      <c r="M2" s="3">
        <v>1.46</v>
      </c>
      <c r="N2" s="3">
        <v>1.42</v>
      </c>
      <c r="O2" s="3">
        <v>1.51</v>
      </c>
      <c r="P2" s="3"/>
      <c r="Q2" s="1">
        <f>IF(I2&gt;0,I2-([1]fixed_values!$G$10+0.04),"")</f>
        <v>0.51219999999999999</v>
      </c>
      <c r="R2" s="1">
        <f>IF(J2&gt;0,J2-([1]fixed_values!$G$10+0.04),"")</f>
        <v>0.47220000000000001</v>
      </c>
      <c r="S2" s="1">
        <f>IF(K2&gt;0,K2-([1]fixed_values!$G$10+0.04),"")</f>
        <v>0.47220000000000001</v>
      </c>
      <c r="T2" s="1" t="str">
        <f>IF(L2&gt;0,L2-([1]fixed_values!$G$10+0.04),"")</f>
        <v/>
      </c>
      <c r="U2" s="1">
        <f>IF(M2&gt;0,M2-([1]fixed_values!$G$10+0.04),"")</f>
        <v>1.2822</v>
      </c>
      <c r="V2" s="1">
        <f>IF(N2&gt;0,N2-([1]fixed_values!$G$10+0.04),"")</f>
        <v>1.2422</v>
      </c>
      <c r="W2" s="1">
        <f>IF(O2&gt;0,O2-([1]fixed_values!$G$10+0.04),"")</f>
        <v>1.3322000000000001</v>
      </c>
      <c r="X2" s="1" t="str">
        <f>IF(P2&gt;0,P2-([1]fixed_values!$G$10+0.04),"")</f>
        <v/>
      </c>
      <c r="Y2" s="6">
        <f t="shared" ref="Y2:AB3" si="0">IF(I2&gt;0,1-Q2/$F2,"")</f>
        <v>0.63940750753287712</v>
      </c>
      <c r="Z2" s="6">
        <f t="shared" si="0"/>
        <v>0.66756779589422988</v>
      </c>
      <c r="AA2" s="6">
        <f t="shared" si="0"/>
        <v>0.66756779589422988</v>
      </c>
      <c r="AB2" s="6" t="str">
        <f t="shared" si="0"/>
        <v/>
      </c>
      <c r="AC2" s="4">
        <f t="shared" ref="AC2:AF3" si="1">IF(M2&gt;0,1-U2/$G2,"")</f>
        <v>0.33234050530086856</v>
      </c>
      <c r="AD2" s="4">
        <f t="shared" si="1"/>
        <v>0.35316906542250737</v>
      </c>
      <c r="AE2" s="4">
        <f t="shared" si="1"/>
        <v>0.30630480514881997</v>
      </c>
      <c r="AF2" s="4" t="str">
        <f t="shared" si="1"/>
        <v/>
      </c>
      <c r="AG2" s="7">
        <f>IF(I2&gt;0,[1]fixed_values!$F$7*(1-AP2),"")</f>
        <v>0.41918401919019976</v>
      </c>
      <c r="AH2" s="7">
        <f>IF(J2&gt;0,[1]fixed_values!$F$7*(1-AQ2),"")</f>
        <v>0.4376453958831531</v>
      </c>
      <c r="AI2" s="7">
        <f>IF(K2&gt;0,[1]fixed_values!$F$7*(1-AR2),"")</f>
        <v>0.4376453958831531</v>
      </c>
      <c r="AJ2" s="7" t="str">
        <f>IF(L2&gt;0,[1]fixed_values!$F$7*(1-AS2),"")</f>
        <v/>
      </c>
      <c r="AK2" s="8">
        <f t="shared" ref="AK2:AN3" si="2">IF(M2&gt;0,U2/$G2,"")</f>
        <v>0.66765949469913144</v>
      </c>
      <c r="AL2" s="8">
        <f t="shared" si="2"/>
        <v>0.64683093457749263</v>
      </c>
      <c r="AM2" s="8">
        <f t="shared" si="2"/>
        <v>0.69369519485118003</v>
      </c>
      <c r="AN2" s="8" t="str">
        <f t="shared" si="2"/>
        <v/>
      </c>
      <c r="AO2" s="3">
        <f t="shared" ref="AO2:AO3" si="3">H2-C2</f>
        <v>83</v>
      </c>
      <c r="AP2" s="4">
        <f>IF(I2&gt;0,1-(Y2/[1]fixed_values!$F$6),"")</f>
        <v>0.24060866088731936</v>
      </c>
      <c r="AQ2" s="4">
        <f>IF(J2&gt;0,1-(Z2/[1]fixed_values!$F$6),"")</f>
        <v>0.20716413789283861</v>
      </c>
      <c r="AR2" s="4">
        <f>IF(K2&gt;0,1-(AA2/[1]fixed_values!$F$6),"")</f>
        <v>0.20716413789283861</v>
      </c>
      <c r="AS2" s="4" t="str">
        <f>IF(L2&gt;0,1-(AB2/[1]fixed_values!$F$6),"")</f>
        <v/>
      </c>
      <c r="AT2" s="4">
        <f t="shared" ref="AT2:AW3" si="4">IF(I2&gt;0,1-AG2,"")</f>
        <v>0.58081598080980024</v>
      </c>
      <c r="AU2" s="4">
        <f t="shared" si="4"/>
        <v>0.5623546041168469</v>
      </c>
      <c r="AV2" s="4">
        <f t="shared" si="4"/>
        <v>0.5623546041168469</v>
      </c>
      <c r="AW2" s="4" t="str">
        <f t="shared" si="4"/>
        <v/>
      </c>
      <c r="AX2" s="4">
        <f t="shared" ref="AX2:BA3" si="5">IF(AND(M2&gt;0,I2&gt;0),AK2-AT2,"")</f>
        <v>8.6843513889331203E-2</v>
      </c>
      <c r="AY2" s="4">
        <f t="shared" si="5"/>
        <v>8.4476330460645732E-2</v>
      </c>
      <c r="AZ2" s="4">
        <f t="shared" si="5"/>
        <v>0.13134059073433313</v>
      </c>
      <c r="BA2" s="4" t="str">
        <f t="shared" si="5"/>
        <v/>
      </c>
      <c r="BB2" s="1">
        <f t="shared" ref="BB2:BE3" si="6">IF(AND(M2&gt;0,I2&gt;0),LN(AG2/AX2)/$AO2,"")</f>
        <v>1.8966291590107629E-2</v>
      </c>
      <c r="BC2" s="1">
        <f t="shared" si="6"/>
        <v>1.981852532291482E-2</v>
      </c>
      <c r="BD2" s="1">
        <f t="shared" si="6"/>
        <v>1.4501386813648104E-2</v>
      </c>
      <c r="BE2" s="1" t="str">
        <f t="shared" si="6"/>
        <v/>
      </c>
      <c r="BF2" s="7">
        <v>0.2183123122243322</v>
      </c>
      <c r="BG2" s="7">
        <v>1.930920435378209E-2</v>
      </c>
      <c r="BH2" s="7">
        <v>1.7762067908890185E-2</v>
      </c>
      <c r="BI2" s="7">
        <v>2.8558022493662691E-3</v>
      </c>
      <c r="BJ2" s="9">
        <v>63.940750753287709</v>
      </c>
      <c r="BK2" s="9">
        <v>66.756779589423004</v>
      </c>
      <c r="BL2" s="9">
        <v>66.756779589423004</v>
      </c>
      <c r="BM2" s="9" t="s">
        <v>1</v>
      </c>
      <c r="BN2" s="9">
        <v>33.234050530086847</v>
      </c>
      <c r="BO2" s="9">
        <v>35.316906542250734</v>
      </c>
      <c r="BP2" s="9">
        <v>30.630480514882002</v>
      </c>
      <c r="BQ2" s="9" t="s">
        <v>1</v>
      </c>
      <c r="BR2" s="9">
        <v>65.818103310711237</v>
      </c>
      <c r="BS2" s="9">
        <v>33.060479195739866</v>
      </c>
      <c r="BT2" s="3">
        <f t="shared" ref="BT2:BW3" si="7">D2</f>
        <v>1.65</v>
      </c>
      <c r="BU2" s="3">
        <f t="shared" si="7"/>
        <v>2.15</v>
      </c>
      <c r="BV2" s="7">
        <f t="shared" si="7"/>
        <v>1.4204399999999999</v>
      </c>
      <c r="BW2" s="7">
        <f t="shared" si="7"/>
        <v>1.9204399999999999</v>
      </c>
      <c r="BX2" s="4">
        <f t="shared" ref="BX2:BX3" si="8">IF(SUM(I2,J2,K2,L2&gt;0),AVERAGE(I2:L2),"")</f>
        <v>0.66333333333333322</v>
      </c>
      <c r="BY2" s="4">
        <f t="shared" ref="BY2:BY3" si="9">IF(SUM(M2,N2,O2,P2&gt;0),AVERAGE(M2:P2),"")</f>
        <v>1.4633333333333332</v>
      </c>
      <c r="BZ2" s="4">
        <f t="shared" ref="BZ2:BZ3" si="10">IF(SUM(I2,J2,K2,L2&gt;0),AVERAGE(Q2:T2),"")</f>
        <v>0.48553333333333332</v>
      </c>
      <c r="CA2" s="4">
        <f t="shared" ref="CA2:CA3" si="11">IF(SUM(M2,N2,O2,P2&gt;0),AVERAGE(U2:X2),"")</f>
        <v>1.2855333333333334</v>
      </c>
      <c r="CB2" s="7">
        <f t="shared" ref="CB2:CB3" si="12">IF(SUM(I2,J2,K2,L2&gt;0),STDEV(BJ2:BM2),"")</f>
        <v>1.6258350065884613</v>
      </c>
      <c r="CC2" s="7">
        <f t="shared" ref="CC2:CC3" si="13">IF(SUM(M2,N2,O2,P2&gt;0),STDEV(BN2:BQ2),"")</f>
        <v>2.3480294895039147</v>
      </c>
      <c r="CD2" s="7">
        <v>3.9E-2</v>
      </c>
      <c r="CE2" s="7">
        <v>3.6999999999999998E-2</v>
      </c>
      <c r="CF2" s="7">
        <f t="shared" ref="CF2:CG3" si="14">CD2</f>
        <v>3.9E-2</v>
      </c>
      <c r="CG2" s="7">
        <f t="shared" si="14"/>
        <v>3.6999999999999998E-2</v>
      </c>
      <c r="CH2" s="7">
        <f t="shared" ref="CH2:CH3" si="15">IF(SUM(I2,J2,K2,L2&gt;0),STDEV(I2:L2),"")</f>
        <v>2.3094010767584987E-2</v>
      </c>
      <c r="CI2" s="7">
        <f t="shared" ref="CI2:CI3" si="16">IF(SUM(M2,N2,O2,P2&gt;0),STDEV(M2:P2),"")</f>
        <v>4.5092497528228984E-2</v>
      </c>
      <c r="CJ2" s="7">
        <f t="shared" ref="CJ2:CJ3" si="17">IF(SUM(I2,J2,K2,L2&gt;0),STDEV(Q2:T2),"")</f>
        <v>2.3094010767585018E-2</v>
      </c>
      <c r="CK2" s="7">
        <f t="shared" ref="CK2:CK3" si="18">IF(SUM(M2,N2,O2,P2&gt;0),STDEV(U2:X2),"")</f>
        <v>4.5092497528228977E-2</v>
      </c>
      <c r="CL2" s="1" t="str">
        <f t="shared" ref="CL2:CL3" si="19">IF(BF2 &gt; 0, IF(BF2 &lt; 0.1, "laag", IF(BF2 &lt; 0.2, "lager dan gemiddeld", IF(BF2 &gt; 0.4, "heel hoog", IF(BF2 &gt; 0.3, "hoger dan gemiddeld", "gemiddeld")))),"")</f>
        <v>gemiddeld</v>
      </c>
      <c r="CM2" s="1" t="str">
        <f t="shared" ref="CM2:CM3" si="20">IF(BF2 &gt; 0, IF(BF2 &lt; 0.1, "veel afbraak", IF(BF2 &lt; 0.2, "meer afbraak", IF(BF2 &gt; 0.4, "veel stabilisatie", IF(BF2 &gt; 0.3, "meer stabilisatie", "gemiddelde afbraak")))),"")</f>
        <v>gemiddelde afbraak</v>
      </c>
      <c r="CN2" s="1" t="str">
        <f t="shared" ref="CN2:CN3" si="21">IF(BH2 &gt; 0, IF(BH2 &lt; 0.02, "laag", IF(BH2 &lt; 0.03, "lager dan gemiddeld", IF(BH2 &gt; 0.06, "heel hoog", IF(BH2 &gt; 0.05, "hoger dan gemiddeld", "gemiddeld")))),"")</f>
        <v>laag</v>
      </c>
      <c r="CO2" s="1" t="str">
        <f t="shared" ref="CO2:CO3" si="22">IF(BH2 &gt; 0, IF(BH2 &lt; 0.02, "heel traag", IF(BH2 &lt; 0.03, "eerder traag", IF(BH2 &gt; 0.06, "heel snel", IF(BH2 &gt; 0.05, "eerder snel", "gemiddeld snel")))),"")</f>
        <v>heel traag</v>
      </c>
      <c r="CP2" s="1" t="str">
        <f t="shared" ref="CP2:CP3" si="23">IF(BR2 &gt; 0, IF(BR2 &gt; 60, "Actief", IF(BR2 &lt; 40, "Niet actief", "Gemiddeld actief")), "")</f>
        <v>Actief</v>
      </c>
      <c r="CQ2" s="1" t="str">
        <f t="shared" ref="CQ2:CQ3" si="24">IF(BS2 &gt; 0, IF(BS2 &gt; 35, "Actief", IF(BS2 &lt; 20, "Niet actief", "Gemiddeld actief")), "")</f>
        <v>Gemiddeld actief</v>
      </c>
      <c r="CR2" s="1" t="s">
        <v>2</v>
      </c>
      <c r="CS2" s="1">
        <v>129791</v>
      </c>
      <c r="CT2" s="3" t="s">
        <v>3</v>
      </c>
      <c r="CU2" s="3" t="s">
        <v>4</v>
      </c>
      <c r="CV2" s="3" t="s">
        <v>4</v>
      </c>
    </row>
    <row r="3" spans="1:100" s="1" customFormat="1" ht="13.2" x14ac:dyDescent="0.25">
      <c r="A3" s="1" t="s">
        <v>5</v>
      </c>
      <c r="B3" s="1">
        <v>133430</v>
      </c>
      <c r="C3" s="2">
        <v>45095</v>
      </c>
      <c r="D3" s="3">
        <v>1.65</v>
      </c>
      <c r="E3" s="3">
        <v>2.15</v>
      </c>
      <c r="F3" s="4">
        <f>IF(D3&gt;0,D3-([1]fixed_values!$G$10+[1]fixed_values!$G$11),"")</f>
        <v>1.4204399999999999</v>
      </c>
      <c r="G3" s="4">
        <f>IF(E3&gt;0,E3-([1]fixed_values!$G$10+[1]fixed_values!$G$11),"")</f>
        <v>1.9204399999999999</v>
      </c>
      <c r="H3" s="2">
        <v>45178</v>
      </c>
      <c r="I3" s="5">
        <v>0.66</v>
      </c>
      <c r="J3" s="1">
        <v>0.66</v>
      </c>
      <c r="K3" s="1">
        <v>0.68</v>
      </c>
      <c r="M3" s="3">
        <v>1.56</v>
      </c>
      <c r="N3" s="3">
        <v>1.53</v>
      </c>
      <c r="O3" s="3">
        <v>1.41</v>
      </c>
      <c r="P3" s="3"/>
      <c r="Q3" s="1">
        <f>IF(I3&gt;0,I3-([1]fixed_values!$G$10+0.04),"")</f>
        <v>0.48220000000000002</v>
      </c>
      <c r="R3" s="1">
        <f>IF(J3&gt;0,J3-([1]fixed_values!$G$10+0.04),"")</f>
        <v>0.48220000000000002</v>
      </c>
      <c r="S3" s="1">
        <f>IF(K3&gt;0,K3-([1]fixed_values!$G$10+0.04),"")</f>
        <v>0.50219999999999998</v>
      </c>
      <c r="T3" s="1" t="str">
        <f>IF(L3&gt;0,L3-([1]fixed_values!$G$10+0.04),"")</f>
        <v/>
      </c>
      <c r="U3" s="1">
        <f>IF(M3&gt;0,M3-([1]fixed_values!$G$10+0.04),"")</f>
        <v>1.3822000000000001</v>
      </c>
      <c r="V3" s="1">
        <f>IF(N3&gt;0,N3-([1]fixed_values!$G$10+0.04),"")</f>
        <v>1.3522000000000001</v>
      </c>
      <c r="W3" s="1">
        <f>IF(O3&gt;0,O3-([1]fixed_values!$G$10+0.04),"")</f>
        <v>1.2322</v>
      </c>
      <c r="X3" s="1" t="str">
        <f>IF(P3&gt;0,P3-([1]fixed_values!$G$10+0.04),"")</f>
        <v/>
      </c>
      <c r="Y3" s="6">
        <f t="shared" si="0"/>
        <v>0.6605277238038918</v>
      </c>
      <c r="Z3" s="6">
        <f t="shared" si="0"/>
        <v>0.6605277238038918</v>
      </c>
      <c r="AA3" s="6">
        <f t="shared" si="0"/>
        <v>0.64644757962321542</v>
      </c>
      <c r="AB3" s="6" t="str">
        <f t="shared" si="0"/>
        <v/>
      </c>
      <c r="AC3" s="4">
        <f t="shared" si="1"/>
        <v>0.28026910499677149</v>
      </c>
      <c r="AD3" s="4">
        <f t="shared" si="1"/>
        <v>0.29589052508800062</v>
      </c>
      <c r="AE3" s="4">
        <f t="shared" si="1"/>
        <v>0.35837620545291704</v>
      </c>
      <c r="AF3" s="4" t="str">
        <f t="shared" si="1"/>
        <v/>
      </c>
      <c r="AG3" s="7">
        <f>IF(I3&gt;0,[1]fixed_values!$F$7*(1-AP3),"")</f>
        <v>0.43303005170991488</v>
      </c>
      <c r="AH3" s="7">
        <f>IF(J3&gt;0,[1]fixed_values!$F$7*(1-AQ3),"")</f>
        <v>0.43303005170991488</v>
      </c>
      <c r="AI3" s="7">
        <f>IF(K3&gt;0,[1]fixed_values!$F$7*(1-AR3),"")</f>
        <v>0.42379936336343815</v>
      </c>
      <c r="AJ3" s="7" t="str">
        <f>IF(L3&gt;0,[1]fixed_values!$F$7*(1-AS3),"")</f>
        <v/>
      </c>
      <c r="AK3" s="8">
        <f t="shared" si="2"/>
        <v>0.71973089500322851</v>
      </c>
      <c r="AL3" s="8">
        <f t="shared" si="2"/>
        <v>0.70410947491199938</v>
      </c>
      <c r="AM3" s="8">
        <f t="shared" si="2"/>
        <v>0.64162379454708296</v>
      </c>
      <c r="AN3" s="8" t="str">
        <f t="shared" si="2"/>
        <v/>
      </c>
      <c r="AO3" s="3">
        <f t="shared" si="3"/>
        <v>83</v>
      </c>
      <c r="AP3" s="4">
        <f>IF(I3&gt;0,1-(Y3/[1]fixed_values!$F$6),"")</f>
        <v>0.2155252686414586</v>
      </c>
      <c r="AQ3" s="4">
        <f>IF(J3&gt;0,1-(Z3/[1]fixed_values!$F$6),"")</f>
        <v>0.2155252686414586</v>
      </c>
      <c r="AR3" s="4">
        <f>IF(K3&gt;0,1-(AA3/[1]fixed_values!$F$6),"")</f>
        <v>0.23224753013869903</v>
      </c>
      <c r="AS3" s="4" t="str">
        <f>IF(L3&gt;0,1-(AB3/[1]fixed_values!$F$6),"")</f>
        <v/>
      </c>
      <c r="AT3" s="4">
        <f t="shared" si="4"/>
        <v>0.56696994829008518</v>
      </c>
      <c r="AU3" s="4">
        <f t="shared" si="4"/>
        <v>0.56696994829008518</v>
      </c>
      <c r="AV3" s="4">
        <f t="shared" si="4"/>
        <v>0.57620063663656185</v>
      </c>
      <c r="AW3" s="4" t="str">
        <f t="shared" si="4"/>
        <v/>
      </c>
      <c r="AX3" s="4">
        <f t="shared" si="5"/>
        <v>0.15276094671314333</v>
      </c>
      <c r="AY3" s="4">
        <f t="shared" si="5"/>
        <v>0.1371395266219142</v>
      </c>
      <c r="AZ3" s="4">
        <f t="shared" si="5"/>
        <v>6.5423157910521113E-2</v>
      </c>
      <c r="BA3" s="4" t="str">
        <f t="shared" si="5"/>
        <v/>
      </c>
      <c r="BB3" s="1">
        <f t="shared" si="6"/>
        <v>1.2553408064508083E-2</v>
      </c>
      <c r="BC3" s="1">
        <f t="shared" si="6"/>
        <v>1.3853111795399286E-2</v>
      </c>
      <c r="BD3" s="1">
        <f t="shared" si="6"/>
        <v>2.2510648811400257E-2</v>
      </c>
      <c r="BE3" s="1" t="str">
        <f t="shared" si="6"/>
        <v/>
      </c>
      <c r="BF3" s="7">
        <v>0.22109935580720541</v>
      </c>
      <c r="BG3" s="7">
        <v>9.6546021768910781E-3</v>
      </c>
      <c r="BH3" s="7">
        <v>1.6305722890435876E-2</v>
      </c>
      <c r="BI3" s="7">
        <v>5.412775324222764E-3</v>
      </c>
      <c r="BJ3" s="9">
        <v>66.052772380389186</v>
      </c>
      <c r="BK3" s="9">
        <v>66.052772380389186</v>
      </c>
      <c r="BL3" s="9">
        <v>64.644757962321535</v>
      </c>
      <c r="BM3" s="9" t="s">
        <v>1</v>
      </c>
      <c r="BN3" s="9">
        <v>28.02691049967715</v>
      </c>
      <c r="BO3" s="9">
        <v>29.589052508800062</v>
      </c>
      <c r="BP3" s="9">
        <v>35.837620545291706</v>
      </c>
      <c r="BQ3" s="9" t="s">
        <v>1</v>
      </c>
      <c r="BR3" s="9">
        <v>65.583434241033302</v>
      </c>
      <c r="BS3" s="9">
        <v>31.151194517922971</v>
      </c>
      <c r="BT3" s="3">
        <f t="shared" si="7"/>
        <v>1.65</v>
      </c>
      <c r="BU3" s="3">
        <f t="shared" si="7"/>
        <v>2.15</v>
      </c>
      <c r="BV3" s="7">
        <f t="shared" si="7"/>
        <v>1.4204399999999999</v>
      </c>
      <c r="BW3" s="7">
        <f t="shared" si="7"/>
        <v>1.9204399999999999</v>
      </c>
      <c r="BX3" s="4">
        <f t="shared" si="8"/>
        <v>0.66666666666666663</v>
      </c>
      <c r="BY3" s="4">
        <f t="shared" si="9"/>
        <v>1.5</v>
      </c>
      <c r="BZ3" s="4">
        <f t="shared" si="10"/>
        <v>0.48886666666666673</v>
      </c>
      <c r="CA3" s="4">
        <f t="shared" si="11"/>
        <v>1.3221999999999998</v>
      </c>
      <c r="CB3" s="7">
        <f t="shared" si="12"/>
        <v>0.81291750329423274</v>
      </c>
      <c r="CC3" s="7">
        <f t="shared" si="13"/>
        <v>4.1330392687060211</v>
      </c>
      <c r="CD3" s="7">
        <v>3.9E-2</v>
      </c>
      <c r="CE3" s="7">
        <v>3.6999999999999998E-2</v>
      </c>
      <c r="CF3" s="7">
        <f t="shared" si="14"/>
        <v>3.9E-2</v>
      </c>
      <c r="CG3" s="7">
        <f t="shared" si="14"/>
        <v>3.6999999999999998E-2</v>
      </c>
      <c r="CH3" s="7">
        <f t="shared" si="15"/>
        <v>1.1547005383792525E-2</v>
      </c>
      <c r="CI3" s="7">
        <f t="shared" si="16"/>
        <v>7.9372539331937789E-2</v>
      </c>
      <c r="CJ3" s="7">
        <f t="shared" si="17"/>
        <v>1.1547005383792493E-2</v>
      </c>
      <c r="CK3" s="7">
        <f t="shared" si="18"/>
        <v>7.9372539331937789E-2</v>
      </c>
      <c r="CL3" s="1" t="str">
        <f t="shared" si="19"/>
        <v>gemiddeld</v>
      </c>
      <c r="CM3" s="1" t="str">
        <f t="shared" si="20"/>
        <v>gemiddelde afbraak</v>
      </c>
      <c r="CN3" s="1" t="str">
        <f t="shared" si="21"/>
        <v>laag</v>
      </c>
      <c r="CO3" s="1" t="str">
        <f t="shared" si="22"/>
        <v>heel traag</v>
      </c>
      <c r="CP3" s="1" t="str">
        <f t="shared" si="23"/>
        <v>Actief</v>
      </c>
      <c r="CQ3" s="1" t="str">
        <f t="shared" si="24"/>
        <v>Gemiddeld actief</v>
      </c>
      <c r="CR3" s="1" t="s">
        <v>2</v>
      </c>
      <c r="CS3" s="1">
        <v>133430</v>
      </c>
      <c r="CT3" s="3" t="s">
        <v>3</v>
      </c>
      <c r="CU3" s="3" t="s">
        <v>4</v>
      </c>
      <c r="CV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Luts Dries</dc:creator>
  <cp:lastModifiedBy>Luts Dries</cp:lastModifiedBy>
  <dcterms:created xsi:type="dcterms:W3CDTF">2026-02-02T15:24:41Z</dcterms:created>
  <dcterms:modified xsi:type="dcterms:W3CDTF">2026-02-02T15:29:08Z</dcterms:modified>
</cp:coreProperties>
</file>