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bylemans/Documents/"/>
    </mc:Choice>
  </mc:AlternateContent>
  <xr:revisionPtr revIDLastSave="0" documentId="13_ncr:1_{3F5BD04A-E56E-0E41-8A1F-34ADA3B29916}" xr6:coauthVersionLast="47" xr6:coauthVersionMax="47" xr10:uidLastSave="{00000000-0000-0000-0000-000000000000}"/>
  <bookViews>
    <workbookView xWindow="0" yWindow="660" windowWidth="30240" windowHeight="17200" activeTab="1" xr2:uid="{15665D2A-531B-7141-9EF2-5A3DAB4E739B}"/>
  </bookViews>
  <sheets>
    <sheet name="Summary" sheetId="1" r:id="rId1"/>
    <sheet name="Plannin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F2" i="1"/>
  <c r="G2" i="1"/>
  <c r="E2" i="1"/>
  <c r="E12" i="1"/>
  <c r="D3" i="1"/>
  <c r="D4" i="1"/>
  <c r="D5" i="1"/>
  <c r="D6" i="1"/>
  <c r="D7" i="1"/>
  <c r="D8" i="1"/>
  <c r="D9" i="1"/>
  <c r="C3" i="1"/>
  <c r="C4" i="1"/>
  <c r="C5" i="1"/>
  <c r="C6" i="1"/>
  <c r="C7" i="1"/>
  <c r="C8" i="1"/>
  <c r="C9" i="1"/>
  <c r="B4" i="1"/>
  <c r="B5" i="1"/>
  <c r="B6" i="1"/>
  <c r="B7" i="1"/>
  <c r="B8" i="1"/>
  <c r="B9" i="1"/>
  <c r="A2" i="1" a="1"/>
  <c r="A2" i="1" s="1"/>
  <c r="D2" i="1" s="1"/>
  <c r="G12" i="1" l="1"/>
  <c r="C2" i="1"/>
  <c r="B2" i="1"/>
  <c r="B3" i="1"/>
  <c r="B12" i="1" l="1"/>
  <c r="C12" i="1"/>
  <c r="F12" i="1"/>
  <c r="D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<sst xmlns="http://schemas.openxmlformats.org/spreadsheetml/2006/main" count="83" uniqueCount="64">
  <si>
    <t>Task</t>
  </si>
  <si>
    <t>o</t>
  </si>
  <si>
    <t>m</t>
  </si>
  <si>
    <t>p</t>
  </si>
  <si>
    <t>Component</t>
  </si>
  <si>
    <t>Opmerkingen</t>
  </si>
  <si>
    <t>Optimistic</t>
  </si>
  <si>
    <t>Pessimistic</t>
  </si>
  <si>
    <t>MidPoint</t>
  </si>
  <si>
    <t>Sprint Optimistic</t>
  </si>
  <si>
    <t>Sprint MidPoint</t>
  </si>
  <si>
    <t>Sprint Pessimistic</t>
  </si>
  <si>
    <t>#VTE</t>
  </si>
  <si>
    <t>ingest</t>
  </si>
  <si>
    <t>Structureel inladen van ACOEM/Skeyes/BAC data</t>
  </si>
  <si>
    <t>Structureel inladen van aerovision data</t>
  </si>
  <si>
    <t>transformatie</t>
  </si>
  <si>
    <t>Consumer alligned product bouwen voor ACOEM/Skeyes/BAC data</t>
  </si>
  <si>
    <t>Totaal</t>
  </si>
  <si>
    <t>Voor visualisatie en voor export</t>
  </si>
  <si>
    <t>Verkenning ACOEM/Skeyes/BAC data</t>
  </si>
  <si>
    <t>Verkenning aerovision data</t>
  </si>
  <si>
    <t>analyse</t>
  </si>
  <si>
    <t>Overzicht van alle rapporttypes (dag-/maandindicatoren, eventlijsten) met hun kolommen.
Eén week data analyseeren: volumes, ontbrekende waarden, gaten per station, fouten opmerken
Per Must-Have uit de business case aanduiden welk rapport en welke kolommen nodig zijn.</t>
  </si>
  <si>
    <t>Ontwerp consumer alligned producten voor ACOEM/Skeyes/BAC data</t>
  </si>
  <si>
    <t>Ontwerp consumer alligned producten voor aerovision data</t>
  </si>
  <si>
    <t>CI/CD opzet</t>
  </si>
  <si>
    <t>server deployen</t>
  </si>
  <si>
    <t>via kubernetes?</t>
  </si>
  <si>
    <t>devops</t>
  </si>
  <si>
    <t>Datacontract en SLA afspraken met aerovision</t>
  </si>
  <si>
    <t>visualisatie</t>
  </si>
  <si>
    <t>Analyse van grafieken</t>
  </si>
  <si>
    <t>Wireframe website met figma</t>
  </si>
  <si>
    <t>consumeren</t>
  </si>
  <si>
    <t>Populeren van de ACOEM/Skeyes/BAC data voor de website</t>
  </si>
  <si>
    <t>Populeren van de aerovision data voor de website</t>
  </si>
  <si>
    <t>Documentatie</t>
  </si>
  <si>
    <t>documentatie</t>
  </si>
  <si>
    <t>Transformaties  Aerovision omvormen tot een bedrijfsproces</t>
  </si>
  <si>
    <t>Transformaties ACOEM/Skeyes/BAC omvormen tot een bedrijfsproces</t>
  </si>
  <si>
    <t>Kan geschrapt worden, inladen volgens data storeage mgt afspraken van gestructureerde data</t>
  </si>
  <si>
    <t>Kan geschrapt worden, inladen volgens data storeage mgt afspraken van ongestructureerde data</t>
  </si>
  <si>
    <t>inladen volgens data storeage mgt afspraken van gestructureerde data</t>
  </si>
  <si>
    <t>Inladen csv in iceberg voor ACOEM/Skeyes/BAC data</t>
  </si>
  <si>
    <t>Inladen csv in iceberg voor Aerovision</t>
  </si>
  <si>
    <t>iceberg-load</t>
  </si>
  <si>
    <t>Plus analyse van jargon</t>
  </si>
  <si>
    <t>container maken van de huidige transformaties en op argo workflows laten draaien</t>
  </si>
  <si>
    <t>Tot consumer aligned product voor visualisatie en export</t>
  </si>
  <si>
    <t>Omvormen tot SSN:SOSA model</t>
  </si>
  <si>
    <t>Via LDES</t>
  </si>
  <si>
    <t>Vragen aan Pieter &amp; Geert</t>
  </si>
  <si>
    <t>Backend implementeren</t>
  </si>
  <si>
    <t>POC visualisatie met mock/sample data</t>
  </si>
  <si>
    <t>In samenspraak met flux</t>
  </si>
  <si>
    <t>Implementeren van figma design, kaart en grafieken</t>
  </si>
  <si>
    <t>Ophalen van postgres data in CA model</t>
  </si>
  <si>
    <t>Sprint Days</t>
  </si>
  <si>
    <t>Confidence</t>
  </si>
  <si>
    <t>Timothy</t>
  </si>
  <si>
    <t>Sander</t>
  </si>
  <si>
    <t>Stijn D</t>
  </si>
  <si>
    <t>Via Queuing mechanisme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</si>
</sst>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</cellXfs>
  <cellStyles count="1">
    <cellStyle name="Standaard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A20358-9336-3B4B-B043-F00DC21CEBEF}" name="Tabel1" displayName="Tabel1" ref="A1:F40" totalsRowShown="0">
  <autoFilter ref="A1:F40" xr:uid="{20A20358-9336-3B4B-B043-F00DC21CEBEF}"/>
  <tableColumns count="6">
    <tableColumn id="1" xr3:uid="{FFA59F30-BC54-514E-8C09-43943EE7AB8D}" name="Task" dataDxfId="1"/>
    <tableColumn id="6" xr3:uid="{D7913FEB-A51D-A84F-90F6-A5D67188BE11}" name="Component"/>
    <tableColumn id="2" xr3:uid="{AF39FE2E-F4F6-9A41-A567-C38FE950B3F3}" name="o"/>
    <tableColumn id="3" xr3:uid="{C06824F4-3DA8-E84F-A067-F76556632136}" name="m"/>
    <tableColumn id="4" xr3:uid="{26F06123-3CAD-3E46-AE9C-C0FADFCF48FF}" name="p"/>
    <tableColumn id="5" xr3:uid="{E2021707-E3E2-8D43-910A-D8A7E26DB5F1}" name="Opmerking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3AFD-C33E-784D-A3F6-5723090CB2E6}">
  <dimension ref="A1:J17"/>
  <sheetViews>
    <sheetView workbookViewId="0">
      <selection activeCell="J13" sqref="J13"/>
    </sheetView>
  </sheetViews>
  <sheetFormatPr baseColWidth="10" defaultRowHeight="16" x14ac:dyDescent="0.2"/>
  <cols>
    <col min="1" max="1" width="13.33203125" bestFit="1" customWidth="1"/>
    <col min="5" max="5" width="16.5" bestFit="1" customWidth="1"/>
    <col min="6" max="6" width="13.6640625" bestFit="1" customWidth="1"/>
    <col min="7" max="7" width="16.5" bestFit="1" customWidth="1"/>
  </cols>
  <sheetData>
    <row r="1" spans="1:10" s="1" customFormat="1" x14ac:dyDescent="0.2">
      <c r="A1" s="1" t="s">
        <v>4</v>
      </c>
      <c r="B1" s="1" t="s">
        <v>6</v>
      </c>
      <c r="C1" s="1" t="s">
        <v>8</v>
      </c>
      <c r="D1" s="1" t="s">
        <v>7</v>
      </c>
      <c r="E1" s="1" t="s">
        <v>9</v>
      </c>
      <c r="F1" s="1" t="s">
        <v>10</v>
      </c>
      <c r="G1" s="1" t="s">
        <v>11</v>
      </c>
      <c r="I1" s="1" t="s">
        <v>12</v>
      </c>
      <c r="J1" s="1" t="s">
        <v>58</v>
      </c>
    </row>
    <row r="2" spans="1:10" x14ac:dyDescent="0.2">
      <c r="A2" t="str" cm="1">
        <f t="array" ref="A2:A9">_xlfn.UNIQUE(_xlfn._xlws.FILTER(Tabel1[Component],Tabel1[Component]&lt;&gt;""))</f>
        <v>ingest</v>
      </c>
      <c r="B2">
        <f>SUMIF(Tabel1[Component], Summary!$A2, Tabel1[o])</f>
        <v>2</v>
      </c>
      <c r="C2">
        <f>SUMIF(Tabel1[Component], Summary!$A2, Tabel1[m])</f>
        <v>3</v>
      </c>
      <c r="D2">
        <f>SUMIF(Tabel1[Component], Summary!$A2, Tabel1[p])</f>
        <v>4</v>
      </c>
      <c r="E2">
        <f>B2/($I$2*$J$2)</f>
        <v>0.1111111111111111</v>
      </c>
      <c r="F2">
        <f t="shared" ref="F2:G2" si="0">C2/($I$2*$J$2)</f>
        <v>0.16666666666666666</v>
      </c>
      <c r="G2">
        <f t="shared" si="0"/>
        <v>0.22222222222222221</v>
      </c>
      <c r="I2">
        <v>2</v>
      </c>
      <c r="J2">
        <v>9</v>
      </c>
    </row>
    <row r="3" spans="1:10" x14ac:dyDescent="0.2">
      <c r="A3" t="str">
        <v>iceberg-load</v>
      </c>
      <c r="B3">
        <f>SUMIF(Tabel1[Component], Summary!$A3, Tabel1[o])</f>
        <v>2</v>
      </c>
      <c r="C3">
        <f>SUMIF(Tabel1[Component], Summary!$A3, Tabel1[m])</f>
        <v>3</v>
      </c>
      <c r="D3">
        <f>SUMIF(Tabel1[Component], Summary!$A3, Tabel1[p])</f>
        <v>5</v>
      </c>
      <c r="E3">
        <f t="shared" ref="E3:E9" si="1">B3/($I$2*$J$2)</f>
        <v>0.1111111111111111</v>
      </c>
      <c r="F3">
        <f t="shared" ref="F3:F9" si="2">C3/($I$2*$J$2)</f>
        <v>0.16666666666666666</v>
      </c>
      <c r="G3">
        <f t="shared" ref="G3:G9" si="3">D3/($I$2*$J$2)</f>
        <v>0.27777777777777779</v>
      </c>
    </row>
    <row r="4" spans="1:10" x14ac:dyDescent="0.2">
      <c r="A4" t="str">
        <v>analyse</v>
      </c>
      <c r="B4">
        <f>SUMIF(Tabel1[Component], Summary!$A4, Tabel1[o])</f>
        <v>7</v>
      </c>
      <c r="C4">
        <f>SUMIF(Tabel1[Component], Summary!$A4, Tabel1[m])</f>
        <v>13</v>
      </c>
      <c r="D4">
        <f>SUMIF(Tabel1[Component], Summary!$A4, Tabel1[p])</f>
        <v>20</v>
      </c>
      <c r="E4">
        <f t="shared" si="1"/>
        <v>0.3888888888888889</v>
      </c>
      <c r="F4">
        <f t="shared" si="2"/>
        <v>0.72222222222222221</v>
      </c>
      <c r="G4">
        <f t="shared" si="3"/>
        <v>1.1111111111111112</v>
      </c>
    </row>
    <row r="5" spans="1:10" x14ac:dyDescent="0.2">
      <c r="A5" t="str">
        <v>transformatie</v>
      </c>
      <c r="B5">
        <f>SUMIF(Tabel1[Component], Summary!$A5, Tabel1[o])</f>
        <v>4</v>
      </c>
      <c r="C5">
        <f>SUMIF(Tabel1[Component], Summary!$A5, Tabel1[m])</f>
        <v>9</v>
      </c>
      <c r="D5">
        <f>SUMIF(Tabel1[Component], Summary!$A5, Tabel1[p])</f>
        <v>13</v>
      </c>
      <c r="E5">
        <f t="shared" si="1"/>
        <v>0.22222222222222221</v>
      </c>
      <c r="F5">
        <f t="shared" si="2"/>
        <v>0.5</v>
      </c>
      <c r="G5">
        <f t="shared" si="3"/>
        <v>0.72222222222222221</v>
      </c>
    </row>
    <row r="6" spans="1:10" x14ac:dyDescent="0.2">
      <c r="A6" t="str">
        <v>consumeren</v>
      </c>
      <c r="B6">
        <f>SUMIF(Tabel1[Component], Summary!$A6, Tabel1[o])</f>
        <v>3</v>
      </c>
      <c r="C6">
        <f>SUMIF(Tabel1[Component], Summary!$A6, Tabel1[m])</f>
        <v>5</v>
      </c>
      <c r="D6">
        <f>SUMIF(Tabel1[Component], Summary!$A6, Tabel1[p])</f>
        <v>8</v>
      </c>
      <c r="E6">
        <f t="shared" si="1"/>
        <v>0.16666666666666666</v>
      </c>
      <c r="F6">
        <f t="shared" si="2"/>
        <v>0.27777777777777779</v>
      </c>
      <c r="G6">
        <f t="shared" si="3"/>
        <v>0.44444444444444442</v>
      </c>
    </row>
    <row r="7" spans="1:10" x14ac:dyDescent="0.2">
      <c r="A7" t="str">
        <v>devops</v>
      </c>
      <c r="B7">
        <f>SUMIF(Tabel1[Component], Summary!$A7, Tabel1[o])</f>
        <v>1</v>
      </c>
      <c r="C7">
        <f>SUMIF(Tabel1[Component], Summary!$A7, Tabel1[m])</f>
        <v>2</v>
      </c>
      <c r="D7">
        <f>SUMIF(Tabel1[Component], Summary!$A7, Tabel1[p])</f>
        <v>3</v>
      </c>
      <c r="E7">
        <f t="shared" si="1"/>
        <v>5.5555555555555552E-2</v>
      </c>
      <c r="F7">
        <f t="shared" si="2"/>
        <v>0.1111111111111111</v>
      </c>
      <c r="G7">
        <f t="shared" si="3"/>
        <v>0.16666666666666666</v>
      </c>
    </row>
    <row r="8" spans="1:10" x14ac:dyDescent="0.2">
      <c r="A8" t="str">
        <v>visualisatie</v>
      </c>
      <c r="B8">
        <f>SUMIF(Tabel1[Component], Summary!$A8, Tabel1[o])</f>
        <v>9</v>
      </c>
      <c r="C8">
        <f>SUMIF(Tabel1[Component], Summary!$A8, Tabel1[m])</f>
        <v>18</v>
      </c>
      <c r="D8">
        <f>SUMIF(Tabel1[Component], Summary!$A8, Tabel1[p])</f>
        <v>28</v>
      </c>
      <c r="E8">
        <f t="shared" si="1"/>
        <v>0.5</v>
      </c>
      <c r="F8">
        <f t="shared" si="2"/>
        <v>1</v>
      </c>
      <c r="G8">
        <f t="shared" si="3"/>
        <v>1.5555555555555556</v>
      </c>
    </row>
    <row r="9" spans="1:10" x14ac:dyDescent="0.2">
      <c r="A9" t="str">
        <v>documentatie</v>
      </c>
      <c r="B9">
        <f>SUMIF(Tabel1[Component], Summary!$A9, Tabel1[o])</f>
        <v>1</v>
      </c>
      <c r="C9">
        <f>SUMIF(Tabel1[Component], Summary!$A9, Tabel1[m])</f>
        <v>2</v>
      </c>
      <c r="D9">
        <f>SUMIF(Tabel1[Component], Summary!$A9, Tabel1[p])</f>
        <v>3</v>
      </c>
      <c r="E9">
        <f t="shared" si="1"/>
        <v>5.5555555555555552E-2</v>
      </c>
      <c r="F9">
        <f t="shared" si="2"/>
        <v>0.1111111111111111</v>
      </c>
      <c r="G9">
        <f t="shared" si="3"/>
        <v>0.16666666666666666</v>
      </c>
    </row>
    <row r="12" spans="1:10" x14ac:dyDescent="0.2">
      <c r="A12" s="1" t="s">
        <v>18</v>
      </c>
      <c r="B12">
        <f>SUM(INDEX(B:B,1):INDEX(B:B,ROW()-1))</f>
        <v>29</v>
      </c>
      <c r="C12">
        <f>SUM(INDEX(C:C,1):INDEX(C:C,ROW()-1))</f>
        <v>55</v>
      </c>
      <c r="D12">
        <f>SUM(INDEX(D:D,1):INDEX(D:D,ROW()-1))</f>
        <v>84</v>
      </c>
      <c r="E12">
        <f>SUM(INDEX(E:E,1):INDEX(E:E,ROW()-1))</f>
        <v>1.6111111111111112</v>
      </c>
      <c r="F12">
        <f>SUM(INDEX(F:F,1):INDEX(F:F,ROW()-1))</f>
        <v>3.0555555555555558</v>
      </c>
      <c r="G12">
        <f>SUM(INDEX(G:G,1):INDEX(G:G,ROW()-1))</f>
        <v>4.666666666666667</v>
      </c>
    </row>
    <row r="14" spans="1:10" x14ac:dyDescent="0.2">
      <c r="A14" s="1" t="s">
        <v>59</v>
      </c>
    </row>
    <row r="15" spans="1:10" x14ac:dyDescent="0.2">
      <c r="A15" t="s">
        <v>60</v>
      </c>
      <c r="B15">
        <v>90</v>
      </c>
    </row>
    <row r="16" spans="1:10" x14ac:dyDescent="0.2">
      <c r="A16" s="2" t="s">
        <v>61</v>
      </c>
      <c r="B16">
        <v>65</v>
      </c>
    </row>
    <row r="17" spans="1:2" x14ac:dyDescent="0.2">
      <c r="A17" t="s">
        <v>62</v>
      </c>
      <c r="B17">
        <v>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3503B-DAB6-AA44-A1DA-B19EC9EFF2B0}">
  <dimension ref="A1:F40"/>
  <sheetViews>
    <sheetView tabSelected="1" topLeftCell="A11" workbookViewId="0">
      <selection activeCell="H25" sqref="H25"/>
    </sheetView>
  </sheetViews>
  <sheetFormatPr baseColWidth="10" defaultRowHeight="16" x14ac:dyDescent="0.2"/>
  <cols>
    <col min="1" max="1" width="41.5" bestFit="1" customWidth="1"/>
    <col min="2" max="2" width="24.1640625" customWidth="1"/>
    <col min="6" max="6" width="22.1640625" customWidth="1"/>
  </cols>
  <sheetData>
    <row r="1" spans="1:6" ht="17" x14ac:dyDescent="0.2">
      <c r="A1" s="3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</row>
    <row r="2" spans="1:6" ht="68" x14ac:dyDescent="0.2">
      <c r="A2" s="3" t="s">
        <v>14</v>
      </c>
      <c r="B2" t="s">
        <v>13</v>
      </c>
      <c r="F2" s="3" t="s">
        <v>41</v>
      </c>
    </row>
    <row r="3" spans="1:6" ht="85" x14ac:dyDescent="0.2">
      <c r="A3" s="3" t="s">
        <v>14</v>
      </c>
      <c r="B3" t="s">
        <v>13</v>
      </c>
      <c r="F3" s="3" t="s">
        <v>42</v>
      </c>
    </row>
    <row r="4" spans="1:6" ht="51" x14ac:dyDescent="0.2">
      <c r="A4" s="3" t="s">
        <v>15</v>
      </c>
      <c r="B4" t="s">
        <v>13</v>
      </c>
      <c r="C4">
        <v>2</v>
      </c>
      <c r="D4">
        <v>3</v>
      </c>
      <c r="E4">
        <v>4</v>
      </c>
      <c r="F4" s="3" t="s">
        <v>43</v>
      </c>
    </row>
    <row r="5" spans="1:6" x14ac:dyDescent="0.2">
      <c r="A5" s="3"/>
      <c r="F5" s="3"/>
    </row>
    <row r="6" spans="1:6" ht="34" x14ac:dyDescent="0.2">
      <c r="A6" s="3" t="s">
        <v>44</v>
      </c>
      <c r="B6" t="s">
        <v>46</v>
      </c>
      <c r="F6" s="3"/>
    </row>
    <row r="7" spans="1:6" ht="17" x14ac:dyDescent="0.2">
      <c r="A7" s="3" t="s">
        <v>45</v>
      </c>
      <c r="B7" t="s">
        <v>46</v>
      </c>
      <c r="C7">
        <v>2</v>
      </c>
      <c r="D7">
        <v>3</v>
      </c>
      <c r="E7">
        <v>5</v>
      </c>
      <c r="F7" s="3"/>
    </row>
    <row r="8" spans="1:6" x14ac:dyDescent="0.2">
      <c r="A8" s="3"/>
      <c r="F8" s="3"/>
    </row>
    <row r="9" spans="1:6" ht="17" x14ac:dyDescent="0.2">
      <c r="A9" s="3" t="s">
        <v>20</v>
      </c>
      <c r="B9" t="s">
        <v>22</v>
      </c>
      <c r="C9">
        <v>1</v>
      </c>
      <c r="D9">
        <v>2</v>
      </c>
      <c r="E9">
        <v>4</v>
      </c>
      <c r="F9" s="3"/>
    </row>
    <row r="10" spans="1:6" ht="238" x14ac:dyDescent="0.2">
      <c r="A10" s="3" t="s">
        <v>21</v>
      </c>
      <c r="B10" t="s">
        <v>22</v>
      </c>
      <c r="C10">
        <v>1</v>
      </c>
      <c r="D10">
        <v>2</v>
      </c>
      <c r="E10">
        <v>3</v>
      </c>
      <c r="F10" s="3" t="s">
        <v>23</v>
      </c>
    </row>
    <row r="11" spans="1:6" ht="34" x14ac:dyDescent="0.2">
      <c r="A11" s="3" t="s">
        <v>24</v>
      </c>
      <c r="B11" t="s">
        <v>22</v>
      </c>
      <c r="F11" s="3"/>
    </row>
    <row r="12" spans="1:6" ht="34" x14ac:dyDescent="0.2">
      <c r="A12" s="3" t="s">
        <v>25</v>
      </c>
      <c r="B12" t="s">
        <v>22</v>
      </c>
      <c r="C12">
        <v>2</v>
      </c>
      <c r="D12">
        <v>4</v>
      </c>
      <c r="E12">
        <v>6</v>
      </c>
      <c r="F12" s="3"/>
    </row>
    <row r="13" spans="1:6" ht="17" x14ac:dyDescent="0.2">
      <c r="A13" s="3" t="s">
        <v>30</v>
      </c>
      <c r="B13" t="s">
        <v>22</v>
      </c>
      <c r="C13">
        <v>1</v>
      </c>
      <c r="D13">
        <v>2</v>
      </c>
      <c r="E13">
        <v>3</v>
      </c>
      <c r="F13" s="3"/>
    </row>
    <row r="14" spans="1:6" ht="17" x14ac:dyDescent="0.2">
      <c r="A14" s="3" t="s">
        <v>32</v>
      </c>
      <c r="B14" t="s">
        <v>22</v>
      </c>
      <c r="C14">
        <v>2</v>
      </c>
      <c r="D14">
        <v>3</v>
      </c>
      <c r="E14">
        <v>4</v>
      </c>
      <c r="F14" s="3" t="s">
        <v>47</v>
      </c>
    </row>
    <row r="15" spans="1:6" x14ac:dyDescent="0.2">
      <c r="A15" s="3"/>
      <c r="F15" s="3"/>
    </row>
    <row r="16" spans="1:6" ht="51" x14ac:dyDescent="0.2">
      <c r="A16" s="3" t="s">
        <v>39</v>
      </c>
      <c r="B16" t="s">
        <v>16</v>
      </c>
      <c r="C16">
        <v>2</v>
      </c>
      <c r="D16">
        <v>5</v>
      </c>
      <c r="E16">
        <v>8</v>
      </c>
      <c r="F16" s="3" t="s">
        <v>49</v>
      </c>
    </row>
    <row r="17" spans="1:6" ht="68" x14ac:dyDescent="0.2">
      <c r="A17" s="3" t="s">
        <v>40</v>
      </c>
      <c r="B17" t="s">
        <v>16</v>
      </c>
      <c r="C17">
        <v>2</v>
      </c>
      <c r="D17">
        <v>4</v>
      </c>
      <c r="E17">
        <v>5</v>
      </c>
      <c r="F17" s="3" t="s">
        <v>48</v>
      </c>
    </row>
    <row r="18" spans="1:6" ht="34" x14ac:dyDescent="0.2">
      <c r="A18" s="3" t="s">
        <v>17</v>
      </c>
      <c r="B18" t="s">
        <v>16</v>
      </c>
      <c r="F18" s="3" t="s">
        <v>19</v>
      </c>
    </row>
    <row r="19" spans="1:6" ht="17" x14ac:dyDescent="0.2">
      <c r="A19" s="3" t="s">
        <v>50</v>
      </c>
      <c r="B19" t="s">
        <v>16</v>
      </c>
      <c r="F19" s="3" t="s">
        <v>52</v>
      </c>
    </row>
    <row r="20" spans="1:6" x14ac:dyDescent="0.2">
      <c r="A20" s="3"/>
      <c r="F20" s="3"/>
    </row>
    <row r="21" spans="1:6" ht="34" x14ac:dyDescent="0.2">
      <c r="A21" s="3" t="s">
        <v>35</v>
      </c>
      <c r="B21" t="s">
        <v>34</v>
      </c>
      <c r="F21" s="3"/>
    </row>
    <row r="22" spans="1:6" ht="17" x14ac:dyDescent="0.2">
      <c r="A22" s="3" t="s">
        <v>36</v>
      </c>
      <c r="B22" t="s">
        <v>34</v>
      </c>
      <c r="C22">
        <v>1</v>
      </c>
      <c r="D22">
        <v>2</v>
      </c>
      <c r="E22">
        <v>3</v>
      </c>
      <c r="F22" s="3" t="s">
        <v>51</v>
      </c>
    </row>
    <row r="23" spans="1:6" ht="17" x14ac:dyDescent="0.2">
      <c r="A23" s="3" t="s">
        <v>36</v>
      </c>
      <c r="B23" t="s">
        <v>34</v>
      </c>
      <c r="C23">
        <v>2</v>
      </c>
      <c r="D23">
        <v>3</v>
      </c>
      <c r="E23">
        <v>5</v>
      </c>
      <c r="F23" s="3" t="s">
        <v>63</v>
      </c>
    </row>
    <row r="24" spans="1:6" x14ac:dyDescent="0.2">
      <c r="A24" s="3"/>
      <c r="F24" s="3"/>
    </row>
    <row r="25" spans="1:6" ht="17" x14ac:dyDescent="0.2">
      <c r="A25" s="3" t="s">
        <v>26</v>
      </c>
      <c r="B25" t="s">
        <v>29</v>
      </c>
      <c r="C25">
        <v>1</v>
      </c>
      <c r="D25">
        <v>2</v>
      </c>
      <c r="E25">
        <v>3</v>
      </c>
      <c r="F25" s="3"/>
    </row>
    <row r="26" spans="1:6" ht="17" x14ac:dyDescent="0.2">
      <c r="A26" s="3" t="s">
        <v>27</v>
      </c>
      <c r="B26" t="s">
        <v>29</v>
      </c>
      <c r="F26" s="3" t="s">
        <v>28</v>
      </c>
    </row>
    <row r="27" spans="1:6" x14ac:dyDescent="0.2">
      <c r="A27" s="3"/>
      <c r="F27" s="3"/>
    </row>
    <row r="28" spans="1:6" x14ac:dyDescent="0.2">
      <c r="A28" t="s">
        <v>33</v>
      </c>
      <c r="B28" t="s">
        <v>31</v>
      </c>
      <c r="C28">
        <v>3</v>
      </c>
      <c r="D28">
        <v>6</v>
      </c>
      <c r="E28">
        <v>9</v>
      </c>
      <c r="F28" t="s">
        <v>55</v>
      </c>
    </row>
    <row r="29" spans="1:6" ht="34" x14ac:dyDescent="0.2">
      <c r="A29" s="3" t="s">
        <v>54</v>
      </c>
      <c r="B29" t="s">
        <v>31</v>
      </c>
      <c r="C29">
        <v>3</v>
      </c>
      <c r="D29">
        <v>6</v>
      </c>
      <c r="E29">
        <v>9</v>
      </c>
      <c r="F29" s="3" t="s">
        <v>56</v>
      </c>
    </row>
    <row r="30" spans="1:6" ht="34" x14ac:dyDescent="0.2">
      <c r="A30" s="3" t="s">
        <v>53</v>
      </c>
      <c r="B30" t="s">
        <v>31</v>
      </c>
      <c r="C30">
        <v>3</v>
      </c>
      <c r="D30">
        <v>6</v>
      </c>
      <c r="E30">
        <v>10</v>
      </c>
      <c r="F30" s="3" t="s">
        <v>57</v>
      </c>
    </row>
    <row r="31" spans="1:6" x14ac:dyDescent="0.2">
      <c r="A31" s="3"/>
      <c r="F31" s="3"/>
    </row>
    <row r="32" spans="1:6" ht="17" x14ac:dyDescent="0.2">
      <c r="A32" s="3" t="s">
        <v>37</v>
      </c>
      <c r="B32" t="s">
        <v>38</v>
      </c>
      <c r="C32">
        <v>1</v>
      </c>
      <c r="D32">
        <v>2</v>
      </c>
      <c r="E32">
        <v>3</v>
      </c>
      <c r="F32" s="3"/>
    </row>
    <row r="33" spans="1:6" x14ac:dyDescent="0.2">
      <c r="A33" s="3"/>
      <c r="F33" s="3"/>
    </row>
    <row r="34" spans="1:6" x14ac:dyDescent="0.2">
      <c r="A34" s="3"/>
      <c r="F34" s="3"/>
    </row>
    <row r="35" spans="1:6" x14ac:dyDescent="0.2">
      <c r="A35" s="3"/>
      <c r="F35" s="3"/>
    </row>
    <row r="36" spans="1:6" x14ac:dyDescent="0.2">
      <c r="A36" s="3"/>
      <c r="F36" s="3"/>
    </row>
    <row r="37" spans="1:6" x14ac:dyDescent="0.2">
      <c r="A37" s="3"/>
      <c r="F37" s="3"/>
    </row>
    <row r="38" spans="1:6" x14ac:dyDescent="0.2">
      <c r="A38" s="3"/>
      <c r="F38" s="3"/>
    </row>
    <row r="39" spans="1:6" x14ac:dyDescent="0.2">
      <c r="A39" s="3"/>
      <c r="F39" s="3"/>
    </row>
    <row r="40" spans="1:6" x14ac:dyDescent="0.2">
      <c r="A40" s="3"/>
      <c r="F40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Summary</vt:lpstr>
      <vt:lpstr>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Bylemans (Datashift)</dc:creator>
  <cp:lastModifiedBy>Sander Bylemans (Datashift)</cp:lastModifiedBy>
  <dcterms:created xsi:type="dcterms:W3CDTF">2026-09-23T07:55:59Z</dcterms:created>
  <dcterms:modified xsi:type="dcterms:W3CDTF">2026-10-06T09:27:48Z</dcterms:modified>
</cp:coreProperties>
</file>